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  <sheet name="Assumptions" sheetId="2" state="visible" r:id="rId3"/>
    <sheet name="Analysis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<sst xmlns="http://schemas.openxmlformats.org/spreadsheetml/2006/main" count="766" uniqueCount="35">
  <si>
    <t xml:space="preserve">日期</t>
  </si>
  <si>
    <t xml:space="preserve">区域</t>
  </si>
  <si>
    <t xml:space="preserve">产品</t>
  </si>
  <si>
    <r>
      <rPr>
        <b val="true"/>
        <sz val="11"/>
        <color rgb="FFFFFFFF"/>
        <rFont val="Noto Sans CJK SC"/>
        <family val="2"/>
      </rPr>
      <t xml:space="preserve">销量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件</t>
    </r>
    <r>
      <rPr>
        <b val="true"/>
        <sz val="11"/>
        <color rgb="FFFFFFFF"/>
        <rFont val="Cambria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</si>
  <si>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单价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元</t>
    </r>
    <r>
      <rPr>
        <b val="true"/>
        <sz val="11"/>
        <color rgb="FFFFFFFF"/>
        <rFont val="Cambria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</si>
  <si>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收入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元</t>
    </r>
    <r>
      <rPr>
        <b val="true"/>
        <sz val="11"/>
        <color rgb="FFFFFFFF"/>
        <rFont val="Cambria"/>
        <family val="0"/>
        <charset val="1"/>
      </rPr>
      <t xml:space="preserve">)</t>
    </r>
  </si>
  <si>
    <t xml:space="preserve">华东</t>
  </si>
  <si>
    <t xml:space="preserve">Alpha</t>
  </si>
  <si>
    <t xml:space="preserve">Beta</t>
  </si>
  <si>
    <t xml:space="preserve">Gamma</t>
  </si>
  <si>
    <t xml:space="preserve">Delta</t>
  </si>
  <si>
    <t xml:space="preserve">Epsilon</t>
  </si>
  <si>
    <t xml:space="preserve">华南</t>
  </si>
  <si>
    <t xml:space="preserve">华北</t>
  </si>
  <si>
    <t xml:space="preserve">参数</t>
  </si>
  <si>
    <t xml:space="preserve">值</t>
  </si>
  <si>
    <t xml:space="preserve">区域列表</t>
  </si>
  <si>
    <t xml:space="preserve">（用于下拉选择）</t>
  </si>
  <si>
    <t xml:space="preserve">说明</t>
  </si>
  <si>
    <r>
      <rPr>
        <b val="true"/>
        <sz val="11"/>
        <color rgb="FFFFFFFF"/>
        <rFont val="Noto Sans CJK SC"/>
        <family val="2"/>
      </rPr>
      <t xml:space="preserve">基准单价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元</t>
    </r>
    <r>
      <rPr>
        <b val="true"/>
        <sz val="11"/>
        <color rgb="FFFFFFFF"/>
        <rFont val="Cambria"/>
        <family val="0"/>
        <charset val="1"/>
      </rPr>
      <t xml:space="preserve">)</t>
    </r>
  </si>
  <si>
    <t xml:space="preserve">销售区域</t>
  </si>
  <si>
    <r>
      <rPr>
        <sz val="11"/>
        <color rgb="FF000000"/>
        <rFont val="Noto Sans CJK SC"/>
        <family val="2"/>
      </rPr>
      <t xml:space="preserve">通胀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提价率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</rPr>
      <t xml:space="preserve">年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</si>
  <si>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CJK SC"/>
        <family val="2"/>
      </rPr>
      <t xml:space="preserve">销量季节性强度</t>
    </r>
    <r>
      <rPr>
        <sz val="11"/>
        <color rgb="FF000000"/>
        <rFont val="Calibri"/>
        <family val="2"/>
        <charset val="1"/>
      </rPr>
      <t xml:space="preserve">(0-1)</t>
    </r>
  </si>
  <si>
    <t xml:space="preserve">销售仪表盘（公式驱动）</t>
  </si>
  <si>
    <t xml:space="preserve">区域选择：</t>
  </si>
  <si>
    <t xml:space="preserve">关键指标</t>
  </si>
  <si>
    <r>
      <rPr>
        <b val="true"/>
        <sz val="11"/>
        <rFont val="Cambria"/>
        <family val="0"/>
        <charset val="1"/>
      </rPr>
      <t xml:space="preserve">24</t>
    </r>
    <r>
      <rPr>
        <b val="true"/>
        <sz val="11"/>
        <rFont val="Noto Sans CJK SC"/>
        <family val="2"/>
      </rPr>
      <t xml:space="preserve">个月累计收入</t>
    </r>
  </si>
  <si>
    <r>
      <rPr>
        <b val="true"/>
        <sz val="14"/>
        <color rgb="FF1E3A8A"/>
        <rFont val="Noto Sans CJK SC"/>
        <family val="2"/>
      </rPr>
      <t xml:space="preserve">月度收入</t>
    </r>
    <r>
      <rPr>
        <b val="true"/>
        <sz val="14"/>
        <color rgb="FF1E3A8A"/>
        <rFont val="Cambria"/>
        <family val="0"/>
        <charset val="1"/>
      </rPr>
      <t xml:space="preserve">(</t>
    </r>
    <r>
      <rPr>
        <b val="true"/>
        <sz val="14"/>
        <color rgb="FF1E3A8A"/>
        <rFont val="Noto Sans CJK SC"/>
        <family val="2"/>
      </rPr>
      <t xml:space="preserve">元</t>
    </r>
    <r>
      <rPr>
        <b val="true"/>
        <sz val="14"/>
        <color rgb="FF1E3A8A"/>
        <rFont val="Cambria"/>
        <family val="0"/>
        <charset val="1"/>
      </rPr>
      <t xml:space="preserve">)</t>
    </r>
  </si>
  <si>
    <r>
      <rPr>
        <b val="true"/>
        <sz val="11"/>
        <rFont val="Noto Sans CJK SC"/>
        <family val="2"/>
      </rPr>
      <t xml:space="preserve">最近</t>
    </r>
    <r>
      <rPr>
        <b val="true"/>
        <sz val="11"/>
        <rFont val="Cambria"/>
        <family val="0"/>
        <charset val="1"/>
      </rPr>
      <t xml:space="preserve">12</t>
    </r>
    <r>
      <rPr>
        <b val="true"/>
        <sz val="11"/>
        <rFont val="Noto Sans CJK SC"/>
        <family val="2"/>
      </rPr>
      <t xml:space="preserve">个月同比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收入</t>
    </r>
    <r>
      <rPr>
        <b val="true"/>
        <sz val="11"/>
        <rFont val="Cambria"/>
        <family val="0"/>
        <charset val="1"/>
      </rPr>
      <t xml:space="preserve">)</t>
    </r>
  </si>
  <si>
    <t xml:space="preserve">月份</t>
  </si>
  <si>
    <t xml:space="preserve">收入</t>
  </si>
  <si>
    <t xml:space="preserve">环比</t>
  </si>
  <si>
    <r>
      <rPr>
        <b val="true"/>
        <sz val="11"/>
        <rFont val="Noto Sans CJK SC"/>
        <family val="2"/>
      </rPr>
      <t xml:space="preserve">波动率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环比标准差</t>
    </r>
    <r>
      <rPr>
        <b val="true"/>
        <sz val="11"/>
        <rFont val="Cambria"/>
        <family val="0"/>
        <charset val="1"/>
      </rPr>
      <t xml:space="preserve">)</t>
    </r>
  </si>
  <si>
    <t xml:space="preserve">产品收入排行（当前区域）</t>
  </si>
  <si>
    <r>
      <rPr>
        <b val="true"/>
        <sz val="11"/>
        <color rgb="FFFFFFFF"/>
        <rFont val="Noto Sans CJK SC"/>
        <family val="2"/>
      </rPr>
      <t xml:space="preserve">累计收入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元</t>
    </r>
    <r>
      <rPr>
        <b val="true"/>
        <sz val="11"/>
        <color rgb="FFFFFFFF"/>
        <rFont val="Cambria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</si>
</sst>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"/>
    <numFmt numFmtId="166" formatCode="#,##0"/>
    <numFmt numFmtId="167" formatCode="0.0%"/>
    <numFmt numFmtId="168" formatCode="0.00"/>
  </numFmts>
  <fonts count="1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b val="true"/>
      <sz val="11"/>
      <color rgb="FFFFFFFF"/>
      <name val="Cambria"/>
      <family val="0"/>
      <charset val="1"/>
    </font>
    <font>
      <sz val="11"/>
      <color rgb="FF000000"/>
      <name val="Noto Sans CJK SC"/>
      <family val="2"/>
    </font>
    <font>
      <b val="true"/>
      <sz val="22"/>
      <color rgb="FF1E3A8A"/>
      <name val="Noto Sans CJK SC"/>
      <family val="2"/>
    </font>
    <font>
      <b val="true"/>
      <sz val="11"/>
      <color rgb="FF92400E"/>
      <name val="Noto Sans CJK SC"/>
      <family val="2"/>
    </font>
    <font>
      <b val="true"/>
      <sz val="14"/>
      <color rgb="FF1E3A8A"/>
      <name val="Noto Sans CJK SC"/>
      <family val="2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b val="true"/>
      <sz val="11"/>
      <color rgb="FF1E3A8A"/>
      <name val="Cambria"/>
      <family val="0"/>
      <charset val="1"/>
    </font>
    <font>
      <b val="true"/>
      <sz val="14"/>
      <color rgb="FF1E3A8A"/>
      <name val="Cambria"/>
      <family val="0"/>
      <charset val="1"/>
    </font>
    <font>
      <b val="true"/>
      <sz val="18"/>
      <color rgb="FF000000"/>
      <name val="Noto Sans CJK SC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E40AF"/>
        <bgColor rgb="FF1E3A8A"/>
      </patternFill>
    </fill>
    <fill>
      <patternFill patternType="solid">
        <fgColor rgb="FFFEF3C7"/>
        <bgColor rgb="FFFFFF99"/>
      </patternFill>
    </fill>
    <fill>
      <patternFill patternType="solid">
        <fgColor rgb="FFDBEAFE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EF3C7"/>
      <rgbColor rgb="FFDBEAFE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969696"/>
      <rgbColor rgb="FF1E40AF"/>
      <rgbColor rgb="FF339966"/>
      <rgbColor rgb="FF003300"/>
      <rgbColor rgb="FF333300"/>
      <rgbColor rgb="FF92400E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月度收入趋势（按区域筛选）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Analysis!B6</c:f>
              <c:strCache>
                <c:ptCount val="1"/>
                <c:pt idx="0">
                  <c:v>收入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Analysis!$A$7:$A$30</c:f>
              <c:strCache>
                <c:ptCount val="24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</c:strCache>
            </c:strRef>
          </c:cat>
          <c:val>
            <c:numRef>
              <c:f>Analysis!$B$7:$B$30</c:f>
              <c:numCache>
                <c:formatCode>General</c:formatCode>
                <c:ptCount val="24"/>
                <c:pt idx="0">
                  <c:v>1569530</c:v>
                </c:pt>
                <c:pt idx="1">
                  <c:v>1802966</c:v>
                </c:pt>
                <c:pt idx="2">
                  <c:v>2094359</c:v>
                </c:pt>
                <c:pt idx="3">
                  <c:v>1938900</c:v>
                </c:pt>
                <c:pt idx="4">
                  <c:v>2124368</c:v>
                </c:pt>
                <c:pt idx="5">
                  <c:v>1809056</c:v>
                </c:pt>
                <c:pt idx="6">
                  <c:v>1591262</c:v>
                </c:pt>
                <c:pt idx="7">
                  <c:v>1436493</c:v>
                </c:pt>
                <c:pt idx="8">
                  <c:v>1283919</c:v>
                </c:pt>
                <c:pt idx="9">
                  <c:v>1206506</c:v>
                </c:pt>
                <c:pt idx="10">
                  <c:v>1287290</c:v>
                </c:pt>
                <c:pt idx="11">
                  <c:v>1332519</c:v>
                </c:pt>
                <c:pt idx="12">
                  <c:v>1748276.25</c:v>
                </c:pt>
                <c:pt idx="13">
                  <c:v>2017067.85</c:v>
                </c:pt>
                <c:pt idx="14">
                  <c:v>2139084.15</c:v>
                </c:pt>
                <c:pt idx="15">
                  <c:v>2213979.6</c:v>
                </c:pt>
                <c:pt idx="16">
                  <c:v>2112317.55</c:v>
                </c:pt>
                <c:pt idx="17">
                  <c:v>1914902.85</c:v>
                </c:pt>
                <c:pt idx="18">
                  <c:v>1749527.85</c:v>
                </c:pt>
                <c:pt idx="19">
                  <c:v>1491957.6</c:v>
                </c:pt>
                <c:pt idx="20">
                  <c:v>0</c:v>
                </c:pt>
                <c:pt idx="21">
                  <c:v>1379749.35</c:v>
                </c:pt>
                <c:pt idx="22">
                  <c:v>1318061.85</c:v>
                </c:pt>
                <c:pt idx="23">
                  <c:v>1366586.55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5002527"/>
        <c:axId val="99880199"/>
      </c:lineChart>
      <c:catAx>
        <c:axId val="6500252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月份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880199"/>
        <c:crosses val="autoZero"/>
        <c:auto val="1"/>
        <c:lblAlgn val="ctr"/>
        <c:lblOffset val="100"/>
        <c:noMultiLvlLbl val="0"/>
      </c:catAx>
      <c:valAx>
        <c:axId val="998801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收入(元)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00252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产品累计收入（当前区域）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Analysis!B33</c:f>
              <c:strCache>
                <c:ptCount val="1"/>
                <c:pt idx="0">
                  <c:v>累计收入(元)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Analysis!$A$34:$A$38</c:f>
              <c:strCache>
                <c:ptCount val="5"/>
                <c:pt idx="0">
                  <c:v>Alpha</c:v>
                </c:pt>
                <c:pt idx="1">
                  <c:v>Beta</c:v>
                </c:pt>
                <c:pt idx="2">
                  <c:v>Gamma</c:v>
                </c:pt>
                <c:pt idx="3">
                  <c:v>Delta</c:v>
                </c:pt>
                <c:pt idx="4">
                  <c:v>Epsilon</c:v>
                </c:pt>
              </c:strCache>
            </c:strRef>
          </c:cat>
          <c:val>
            <c:numRef>
              <c:f>Analysis!$B$34:$B$38</c:f>
              <c:numCache>
                <c:formatCode>General</c:formatCode>
                <c:ptCount val="5"/>
                <c:pt idx="0">
                  <c:v>6864570.2025</c:v>
                </c:pt>
                <c:pt idx="1">
                  <c:v>7715161.805</c:v>
                </c:pt>
                <c:pt idx="2">
                  <c:v>8698248.7075</c:v>
                </c:pt>
                <c:pt idx="3">
                  <c:v>8948375.8725</c:v>
                </c:pt>
                <c:pt idx="4">
                  <c:v>8330592.985</c:v>
                </c:pt>
              </c:numCache>
            </c:numRef>
          </c:val>
        </c:ser>
        <c:gapWidth val="150"/>
        <c:overlap val="0"/>
        <c:axId val="17207818"/>
        <c:axId val="56697284"/>
      </c:barChart>
      <c:catAx>
        <c:axId val="1720781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产品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697284"/>
        <c:crosses val="autoZero"/>
        <c:auto val="1"/>
        <c:lblAlgn val="ctr"/>
        <c:lblOffset val="100"/>
        <c:noMultiLvlLbl val="0"/>
      </c:catAx>
      <c:valAx>
        <c:axId val="566972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收入(元)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2078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7</xdr:row>
      <xdr:rowOff>0</xdr:rowOff>
    </xdr:from>
    <xdr:to>
      <xdr:col>12</xdr:col>
      <xdr:colOff>342720</xdr:colOff>
      <xdr:row>25</xdr:row>
      <xdr:rowOff>170640</xdr:rowOff>
    </xdr:to>
    <xdr:graphicFrame>
      <xdr:nvGraphicFramePr>
        <xdr:cNvPr id="0" name="Chart 1"/>
        <xdr:cNvGraphicFramePr/>
      </xdr:nvGraphicFramePr>
      <xdr:xfrm>
        <a:off x="4315320" y="1419120"/>
        <a:ext cx="79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22</xdr:row>
      <xdr:rowOff>0</xdr:rowOff>
    </xdr:from>
    <xdr:to>
      <xdr:col>12</xdr:col>
      <xdr:colOff>342720</xdr:colOff>
      <xdr:row>40</xdr:row>
      <xdr:rowOff>84960</xdr:rowOff>
    </xdr:to>
    <xdr:graphicFrame>
      <xdr:nvGraphicFramePr>
        <xdr:cNvPr id="1" name="Chart 2"/>
        <xdr:cNvGraphicFramePr/>
      </xdr:nvGraphicFramePr>
      <xdr:xfrm>
        <a:off x="4315320" y="4276800"/>
        <a:ext cx="79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5" min="5" style="0" width="28"/>
    <col collapsed="false" customWidth="true" hidden="false" outlineLevel="0" max="6" min="6" style="0" width="12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n">
        <v>45292</v>
      </c>
      <c r="B2" s="3" t="s">
        <v>6</v>
      </c>
      <c r="C2" s="0" t="s">
        <v>7</v>
      </c>
      <c r="D2" s="4" t="n">
        <v>2156</v>
      </c>
      <c r="E2" s="4" t="n">
        <f aca="false">INDEX(Assumptions!$E$4:$E$8,MATCH($C2,Assumptions!$D$4:$D$8,0))*(1+Assumptions!$B$10)^((YEAR($A2)-2024))</f>
        <v>129</v>
      </c>
      <c r="F2" s="4" t="n">
        <f aca="false">D2*E2</f>
        <v>278124</v>
      </c>
    </row>
    <row r="3" customFormat="false" ht="15" hidden="false" customHeight="false" outlineLevel="0" collapsed="false">
      <c r="A3" s="2" t="n">
        <v>45292</v>
      </c>
      <c r="B3" s="3" t="s">
        <v>6</v>
      </c>
      <c r="C3" s="0" t="s">
        <v>8</v>
      </c>
      <c r="D3" s="4" t="n">
        <v>1597</v>
      </c>
      <c r="E3" s="4" t="n">
        <f aca="false">INDEX(Assumptions!$E$4:$E$8,MATCH($C3,Assumptions!$D$4:$D$8,0))*(1+Assumptions!$B$10)^((YEAR($A3)-2024))</f>
        <v>169</v>
      </c>
      <c r="F3" s="4" t="n">
        <f aca="false">D3*E3</f>
        <v>269893</v>
      </c>
    </row>
    <row r="4" customFormat="false" ht="15" hidden="false" customHeight="false" outlineLevel="0" collapsed="false">
      <c r="A4" s="2" t="n">
        <v>45292</v>
      </c>
      <c r="B4" s="3" t="s">
        <v>6</v>
      </c>
      <c r="C4" s="0" t="s">
        <v>9</v>
      </c>
      <c r="D4" s="4" t="n">
        <v>1640</v>
      </c>
      <c r="E4" s="4" t="n">
        <f aca="false">INDEX(Assumptions!$E$4:$E$8,MATCH($C4,Assumptions!$D$4:$D$8,0))*(1+Assumptions!$B$10)^((YEAR($A4)-2024))</f>
        <v>199</v>
      </c>
      <c r="F4" s="4" t="n">
        <f aca="false">D4*E4</f>
        <v>326360</v>
      </c>
    </row>
    <row r="5" customFormat="false" ht="15" hidden="false" customHeight="false" outlineLevel="0" collapsed="false">
      <c r="A5" s="2" t="n">
        <v>45292</v>
      </c>
      <c r="B5" s="3" t="s">
        <v>6</v>
      </c>
      <c r="C5" s="0" t="s">
        <v>10</v>
      </c>
      <c r="D5" s="4" t="n">
        <v>1328</v>
      </c>
      <c r="E5" s="4" t="n">
        <f aca="false">INDEX(Assumptions!$E$4:$E$8,MATCH($C5,Assumptions!$D$4:$D$8,0))*(1+Assumptions!$B$10)^((YEAR($A5)-2024))</f>
        <v>249</v>
      </c>
      <c r="F5" s="4" t="n">
        <f aca="false">D5*E5</f>
        <v>330672</v>
      </c>
    </row>
    <row r="6" customFormat="false" ht="15" hidden="false" customHeight="false" outlineLevel="0" collapsed="false">
      <c r="A6" s="2" t="n">
        <v>45292</v>
      </c>
      <c r="B6" s="3" t="s">
        <v>6</v>
      </c>
      <c r="C6" s="0" t="s">
        <v>11</v>
      </c>
      <c r="D6" s="4" t="n">
        <v>1219</v>
      </c>
      <c r="E6" s="4" t="n">
        <f aca="false">INDEX(Assumptions!$E$4:$E$8,MATCH($C6,Assumptions!$D$4:$D$8,0))*(1+Assumptions!$B$10)^((YEAR($A6)-2024))</f>
        <v>299</v>
      </c>
      <c r="F6" s="4" t="n">
        <f aca="false">D6*E6</f>
        <v>364481</v>
      </c>
    </row>
    <row r="7" customFormat="false" ht="15" hidden="false" customHeight="false" outlineLevel="0" collapsed="false">
      <c r="A7" s="2" t="n">
        <v>45292</v>
      </c>
      <c r="B7" s="3" t="s">
        <v>12</v>
      </c>
      <c r="C7" s="0" t="s">
        <v>7</v>
      </c>
      <c r="D7" s="4" t="n">
        <v>1895</v>
      </c>
      <c r="E7" s="4" t="n">
        <f aca="false">INDEX(Assumptions!$E$4:$E$8,MATCH($C7,Assumptions!$D$4:$D$8,0))*(1+Assumptions!$B$10)^((YEAR($A7)-2024))</f>
        <v>129</v>
      </c>
      <c r="F7" s="4" t="n">
        <f aca="false">D7*E7</f>
        <v>244455</v>
      </c>
    </row>
    <row r="8" customFormat="false" ht="15" hidden="false" customHeight="false" outlineLevel="0" collapsed="false">
      <c r="A8" s="2" t="n">
        <v>45292</v>
      </c>
      <c r="B8" s="3" t="s">
        <v>12</v>
      </c>
      <c r="C8" s="0" t="s">
        <v>8</v>
      </c>
      <c r="D8" s="4" t="n">
        <v>1810</v>
      </c>
      <c r="E8" s="4" t="n">
        <f aca="false">INDEX(Assumptions!$E$4:$E$8,MATCH($C8,Assumptions!$D$4:$D$8,0))*(1+Assumptions!$B$10)^((YEAR($A8)-2024))</f>
        <v>169</v>
      </c>
      <c r="F8" s="4" t="n">
        <f aca="false">D8*E8</f>
        <v>305890</v>
      </c>
    </row>
    <row r="9" customFormat="false" ht="15" hidden="false" customHeight="false" outlineLevel="0" collapsed="false">
      <c r="A9" s="2" t="n">
        <v>45292</v>
      </c>
      <c r="B9" s="3" t="s">
        <v>12</v>
      </c>
      <c r="C9" s="0" t="s">
        <v>9</v>
      </c>
      <c r="D9" s="4" t="n">
        <v>1340</v>
      </c>
      <c r="E9" s="4" t="n">
        <f aca="false">INDEX(Assumptions!$E$4:$E$8,MATCH($C9,Assumptions!$D$4:$D$8,0))*(1+Assumptions!$B$10)^((YEAR($A9)-2024))</f>
        <v>199</v>
      </c>
      <c r="F9" s="4" t="n">
        <f aca="false">D9*E9</f>
        <v>266660</v>
      </c>
    </row>
    <row r="10" customFormat="false" ht="15" hidden="false" customHeight="false" outlineLevel="0" collapsed="false">
      <c r="A10" s="2" t="n">
        <v>45292</v>
      </c>
      <c r="B10" s="3" t="s">
        <v>12</v>
      </c>
      <c r="C10" s="0" t="s">
        <v>10</v>
      </c>
      <c r="D10" s="4" t="n">
        <v>1230</v>
      </c>
      <c r="E10" s="4" t="n">
        <f aca="false">INDEX(Assumptions!$E$4:$E$8,MATCH($C10,Assumptions!$D$4:$D$8,0))*(1+Assumptions!$B$10)^((YEAR($A10)-2024))</f>
        <v>249</v>
      </c>
      <c r="F10" s="4" t="n">
        <f aca="false">D10*E10</f>
        <v>306270</v>
      </c>
    </row>
    <row r="11" customFormat="false" ht="15" hidden="false" customHeight="false" outlineLevel="0" collapsed="false">
      <c r="A11" s="2" t="n">
        <v>45292</v>
      </c>
      <c r="B11" s="3" t="s">
        <v>12</v>
      </c>
      <c r="C11" s="0" t="s">
        <v>11</v>
      </c>
      <c r="D11" s="4" t="n">
        <v>850</v>
      </c>
      <c r="E11" s="4" t="n">
        <f aca="false">INDEX(Assumptions!$E$4:$E$8,MATCH($C11,Assumptions!$D$4:$D$8,0))*(1+Assumptions!$B$10)^((YEAR($A11)-2024))</f>
        <v>299</v>
      </c>
      <c r="F11" s="4" t="n">
        <f aca="false">D11*E11</f>
        <v>254150</v>
      </c>
    </row>
    <row r="12" customFormat="false" ht="15" hidden="false" customHeight="false" outlineLevel="0" collapsed="false">
      <c r="A12" s="2" t="n">
        <v>45292</v>
      </c>
      <c r="B12" s="3" t="s">
        <v>13</v>
      </c>
      <c r="C12" s="0" t="s">
        <v>7</v>
      </c>
      <c r="D12" s="4" t="n">
        <v>1483</v>
      </c>
      <c r="E12" s="4" t="n">
        <f aca="false">INDEX(Assumptions!$E$4:$E$8,MATCH($C12,Assumptions!$D$4:$D$8,0))*(1+Assumptions!$B$10)^((YEAR($A12)-2024))</f>
        <v>129</v>
      </c>
      <c r="F12" s="4" t="n">
        <f aca="false">D12*E12</f>
        <v>191307</v>
      </c>
    </row>
    <row r="13" customFormat="false" ht="15" hidden="false" customHeight="false" outlineLevel="0" collapsed="false">
      <c r="A13" s="2" t="n">
        <v>45292</v>
      </c>
      <c r="B13" s="3" t="s">
        <v>13</v>
      </c>
      <c r="C13" s="0" t="s">
        <v>8</v>
      </c>
      <c r="D13" s="4" t="n">
        <v>1460</v>
      </c>
      <c r="E13" s="4" t="n">
        <f aca="false">INDEX(Assumptions!$E$4:$E$8,MATCH($C13,Assumptions!$D$4:$D$8,0))*(1+Assumptions!$B$10)^((YEAR($A13)-2024))</f>
        <v>169</v>
      </c>
      <c r="F13" s="4" t="n">
        <f aca="false">D13*E13</f>
        <v>246740</v>
      </c>
    </row>
    <row r="14" customFormat="false" ht="15" hidden="false" customHeight="false" outlineLevel="0" collapsed="false">
      <c r="A14" s="2" t="n">
        <v>45292</v>
      </c>
      <c r="B14" s="3" t="s">
        <v>13</v>
      </c>
      <c r="C14" s="0" t="s">
        <v>9</v>
      </c>
      <c r="D14" s="4" t="n">
        <v>1181</v>
      </c>
      <c r="E14" s="4" t="n">
        <f aca="false">INDEX(Assumptions!$E$4:$E$8,MATCH($C14,Assumptions!$D$4:$D$8,0))*(1+Assumptions!$B$10)^((YEAR($A14)-2024))</f>
        <v>199</v>
      </c>
      <c r="F14" s="4" t="n">
        <f aca="false">D14*E14</f>
        <v>235019</v>
      </c>
    </row>
    <row r="15" customFormat="false" ht="15" hidden="false" customHeight="false" outlineLevel="0" collapsed="false">
      <c r="A15" s="2" t="n">
        <v>45292</v>
      </c>
      <c r="B15" s="3" t="s">
        <v>13</v>
      </c>
      <c r="C15" s="0" t="s">
        <v>10</v>
      </c>
      <c r="D15" s="4" t="n">
        <v>1031</v>
      </c>
      <c r="E15" s="4" t="n">
        <f aca="false">INDEX(Assumptions!$E$4:$E$8,MATCH($C15,Assumptions!$D$4:$D$8,0))*(1+Assumptions!$B$10)^((YEAR($A15)-2024))</f>
        <v>249</v>
      </c>
      <c r="F15" s="4" t="n">
        <f aca="false">D15*E15</f>
        <v>256719</v>
      </c>
    </row>
    <row r="16" customFormat="false" ht="15" hidden="false" customHeight="false" outlineLevel="0" collapsed="false">
      <c r="A16" s="2" t="n">
        <v>45292</v>
      </c>
      <c r="B16" s="3" t="s">
        <v>13</v>
      </c>
      <c r="C16" s="0" t="s">
        <v>11</v>
      </c>
      <c r="D16" s="4" t="n">
        <v>931</v>
      </c>
      <c r="E16" s="4" t="n">
        <f aca="false">INDEX(Assumptions!$E$4:$E$8,MATCH($C16,Assumptions!$D$4:$D$8,0))*(1+Assumptions!$B$10)^((YEAR($A16)-2024))</f>
        <v>299</v>
      </c>
      <c r="F16" s="4" t="n">
        <f aca="false">D16*E16</f>
        <v>278369</v>
      </c>
    </row>
    <row r="17" customFormat="false" ht="15" hidden="false" customHeight="false" outlineLevel="0" collapsed="false">
      <c r="A17" s="2" t="n">
        <v>45323</v>
      </c>
      <c r="B17" s="3" t="s">
        <v>6</v>
      </c>
      <c r="C17" s="0" t="s">
        <v>7</v>
      </c>
      <c r="D17" s="4" t="n">
        <v>2360</v>
      </c>
      <c r="E17" s="4" t="n">
        <f aca="false">INDEX(Assumptions!$E$4:$E$8,MATCH($C17,Assumptions!$D$4:$D$8,0))*(1+Assumptions!$B$10)^((YEAR($A17)-2024))</f>
        <v>129</v>
      </c>
      <c r="F17" s="4" t="n">
        <f aca="false">D17*E17</f>
        <v>304440</v>
      </c>
    </row>
    <row r="18" customFormat="false" ht="15" hidden="false" customHeight="false" outlineLevel="0" collapsed="false">
      <c r="A18" s="2" t="n">
        <v>45323</v>
      </c>
      <c r="B18" s="3" t="s">
        <v>6</v>
      </c>
      <c r="C18" s="0" t="s">
        <v>8</v>
      </c>
      <c r="D18" s="4" t="n">
        <v>1920</v>
      </c>
      <c r="E18" s="4" t="n">
        <f aca="false">INDEX(Assumptions!$E$4:$E$8,MATCH($C18,Assumptions!$D$4:$D$8,0))*(1+Assumptions!$B$10)^((YEAR($A18)-2024))</f>
        <v>169</v>
      </c>
      <c r="F18" s="4" t="n">
        <f aca="false">D18*E18</f>
        <v>324480</v>
      </c>
    </row>
    <row r="19" customFormat="false" ht="15" hidden="false" customHeight="false" outlineLevel="0" collapsed="false">
      <c r="A19" s="2" t="n">
        <v>45323</v>
      </c>
      <c r="B19" s="3" t="s">
        <v>6</v>
      </c>
      <c r="C19" s="0" t="s">
        <v>9</v>
      </c>
      <c r="D19" s="4" t="n">
        <v>2032</v>
      </c>
      <c r="E19" s="4" t="n">
        <f aca="false">INDEX(Assumptions!$E$4:$E$8,MATCH($C19,Assumptions!$D$4:$D$8,0))*(1+Assumptions!$B$10)^((YEAR($A19)-2024))</f>
        <v>199</v>
      </c>
      <c r="F19" s="4" t="n">
        <f aca="false">D19*E19</f>
        <v>404368</v>
      </c>
    </row>
    <row r="20" customFormat="false" ht="15" hidden="false" customHeight="false" outlineLevel="0" collapsed="false">
      <c r="A20" s="2" t="n">
        <v>45323</v>
      </c>
      <c r="B20" s="3" t="s">
        <v>6</v>
      </c>
      <c r="C20" s="0" t="s">
        <v>10</v>
      </c>
      <c r="D20" s="4" t="n">
        <v>1781</v>
      </c>
      <c r="E20" s="4" t="n">
        <f aca="false">INDEX(Assumptions!$E$4:$E$8,MATCH($C20,Assumptions!$D$4:$D$8,0))*(1+Assumptions!$B$10)^((YEAR($A20)-2024))</f>
        <v>249</v>
      </c>
      <c r="F20" s="4" t="n">
        <f aca="false">D20*E20</f>
        <v>443469</v>
      </c>
    </row>
    <row r="21" customFormat="false" ht="15" hidden="false" customHeight="false" outlineLevel="0" collapsed="false">
      <c r="A21" s="2" t="n">
        <v>45323</v>
      </c>
      <c r="B21" s="3" t="s">
        <v>6</v>
      </c>
      <c r="C21" s="0" t="s">
        <v>11</v>
      </c>
      <c r="D21" s="4" t="n">
        <v>1091</v>
      </c>
      <c r="E21" s="4" t="n">
        <f aca="false">INDEX(Assumptions!$E$4:$E$8,MATCH($C21,Assumptions!$D$4:$D$8,0))*(1+Assumptions!$B$10)^((YEAR($A21)-2024))</f>
        <v>299</v>
      </c>
      <c r="F21" s="4" t="n">
        <f aca="false">D21*E21</f>
        <v>326209</v>
      </c>
    </row>
    <row r="22" customFormat="false" ht="15" hidden="false" customHeight="false" outlineLevel="0" collapsed="false">
      <c r="A22" s="2" t="n">
        <v>45323</v>
      </c>
      <c r="B22" s="3" t="s">
        <v>12</v>
      </c>
      <c r="C22" s="0" t="s">
        <v>7</v>
      </c>
      <c r="D22" s="4" t="n">
        <v>2210</v>
      </c>
      <c r="E22" s="4" t="n">
        <f aca="false">INDEX(Assumptions!$E$4:$E$8,MATCH($C22,Assumptions!$D$4:$D$8,0))*(1+Assumptions!$B$10)^((YEAR($A22)-2024))</f>
        <v>129</v>
      </c>
      <c r="F22" s="4" t="n">
        <f aca="false">D22*E22</f>
        <v>285090</v>
      </c>
    </row>
    <row r="23" customFormat="false" ht="15" hidden="false" customHeight="false" outlineLevel="0" collapsed="false">
      <c r="A23" s="2" t="n">
        <v>45323</v>
      </c>
      <c r="B23" s="3" t="s">
        <v>12</v>
      </c>
      <c r="C23" s="0" t="s">
        <v>8</v>
      </c>
      <c r="D23" s="4" t="n">
        <v>1930</v>
      </c>
      <c r="E23" s="4" t="n">
        <f aca="false">INDEX(Assumptions!$E$4:$E$8,MATCH($C23,Assumptions!$D$4:$D$8,0))*(1+Assumptions!$B$10)^((YEAR($A23)-2024))</f>
        <v>169</v>
      </c>
      <c r="F23" s="4" t="n">
        <f aca="false">D23*E23</f>
        <v>326170</v>
      </c>
    </row>
    <row r="24" customFormat="false" ht="15" hidden="false" customHeight="false" outlineLevel="0" collapsed="false">
      <c r="A24" s="2" t="n">
        <v>45323</v>
      </c>
      <c r="B24" s="3" t="s">
        <v>12</v>
      </c>
      <c r="C24" s="0" t="s">
        <v>9</v>
      </c>
      <c r="D24" s="4" t="n">
        <v>1638</v>
      </c>
      <c r="E24" s="4" t="n">
        <f aca="false">INDEX(Assumptions!$E$4:$E$8,MATCH($C24,Assumptions!$D$4:$D$8,0))*(1+Assumptions!$B$10)^((YEAR($A24)-2024))</f>
        <v>199</v>
      </c>
      <c r="F24" s="4" t="n">
        <f aca="false">D24*E24</f>
        <v>325962</v>
      </c>
    </row>
    <row r="25" customFormat="false" ht="15" hidden="false" customHeight="false" outlineLevel="0" collapsed="false">
      <c r="A25" s="2" t="n">
        <v>45323</v>
      </c>
      <c r="B25" s="3" t="s">
        <v>12</v>
      </c>
      <c r="C25" s="0" t="s">
        <v>10</v>
      </c>
      <c r="D25" s="4" t="n">
        <v>1270</v>
      </c>
      <c r="E25" s="4" t="n">
        <f aca="false">INDEX(Assumptions!$E$4:$E$8,MATCH($C25,Assumptions!$D$4:$D$8,0))*(1+Assumptions!$B$10)^((YEAR($A25)-2024))</f>
        <v>249</v>
      </c>
      <c r="F25" s="4" t="n">
        <f aca="false">D25*E25</f>
        <v>316230</v>
      </c>
    </row>
    <row r="26" customFormat="false" ht="15" hidden="false" customHeight="false" outlineLevel="0" collapsed="false">
      <c r="A26" s="2" t="n">
        <v>45323</v>
      </c>
      <c r="B26" s="3" t="s">
        <v>12</v>
      </c>
      <c r="C26" s="0" t="s">
        <v>11</v>
      </c>
      <c r="D26" s="4" t="n">
        <v>1266</v>
      </c>
      <c r="E26" s="4" t="n">
        <f aca="false">INDEX(Assumptions!$E$4:$E$8,MATCH($C26,Assumptions!$D$4:$D$8,0))*(1+Assumptions!$B$10)^((YEAR($A26)-2024))</f>
        <v>299</v>
      </c>
      <c r="F26" s="4" t="n">
        <f aca="false">D26*E26</f>
        <v>378534</v>
      </c>
    </row>
    <row r="27" customFormat="false" ht="15" hidden="false" customHeight="false" outlineLevel="0" collapsed="false">
      <c r="A27" s="2" t="n">
        <v>45323</v>
      </c>
      <c r="B27" s="3" t="s">
        <v>13</v>
      </c>
      <c r="C27" s="0" t="s">
        <v>7</v>
      </c>
      <c r="D27" s="4" t="n">
        <v>1733</v>
      </c>
      <c r="E27" s="4" t="n">
        <f aca="false">INDEX(Assumptions!$E$4:$E$8,MATCH($C27,Assumptions!$D$4:$D$8,0))*(1+Assumptions!$B$10)^((YEAR($A27)-2024))</f>
        <v>129</v>
      </c>
      <c r="F27" s="4" t="n">
        <f aca="false">D27*E27</f>
        <v>223557</v>
      </c>
    </row>
    <row r="28" customFormat="false" ht="15" hidden="false" customHeight="false" outlineLevel="0" collapsed="false">
      <c r="A28" s="2" t="n">
        <v>45323</v>
      </c>
      <c r="B28" s="3" t="s">
        <v>13</v>
      </c>
      <c r="C28" s="0" t="s">
        <v>8</v>
      </c>
      <c r="D28" s="4" t="n">
        <v>1439</v>
      </c>
      <c r="E28" s="4" t="n">
        <f aca="false">INDEX(Assumptions!$E$4:$E$8,MATCH($C28,Assumptions!$D$4:$D$8,0))*(1+Assumptions!$B$10)^((YEAR($A28)-2024))</f>
        <v>169</v>
      </c>
      <c r="F28" s="4" t="n">
        <f aca="false">D28*E28</f>
        <v>243191</v>
      </c>
    </row>
    <row r="29" customFormat="false" ht="15" hidden="false" customHeight="false" outlineLevel="0" collapsed="false">
      <c r="A29" s="2" t="n">
        <v>45323</v>
      </c>
      <c r="B29" s="3" t="s">
        <v>13</v>
      </c>
      <c r="C29" s="0" t="s">
        <v>9</v>
      </c>
      <c r="D29" s="4" t="n">
        <v>1361</v>
      </c>
      <c r="E29" s="4" t="n">
        <f aca="false">INDEX(Assumptions!$E$4:$E$8,MATCH($C29,Assumptions!$D$4:$D$8,0))*(1+Assumptions!$B$10)^((YEAR($A29)-2024))</f>
        <v>199</v>
      </c>
      <c r="F29" s="4" t="n">
        <f aca="false">D29*E29</f>
        <v>270839</v>
      </c>
    </row>
    <row r="30" customFormat="false" ht="15" hidden="false" customHeight="false" outlineLevel="0" collapsed="false">
      <c r="A30" s="2" t="n">
        <v>45323</v>
      </c>
      <c r="B30" s="3" t="s">
        <v>13</v>
      </c>
      <c r="C30" s="0" t="s">
        <v>10</v>
      </c>
      <c r="D30" s="4" t="n">
        <v>1408</v>
      </c>
      <c r="E30" s="4" t="n">
        <f aca="false">INDEX(Assumptions!$E$4:$E$8,MATCH($C30,Assumptions!$D$4:$D$8,0))*(1+Assumptions!$B$10)^((YEAR($A30)-2024))</f>
        <v>249</v>
      </c>
      <c r="F30" s="4" t="n">
        <f aca="false">D30*E30</f>
        <v>350592</v>
      </c>
    </row>
    <row r="31" customFormat="false" ht="15" hidden="false" customHeight="false" outlineLevel="0" collapsed="false">
      <c r="A31" s="2" t="n">
        <v>45323</v>
      </c>
      <c r="B31" s="3" t="s">
        <v>13</v>
      </c>
      <c r="C31" s="0" t="s">
        <v>11</v>
      </c>
      <c r="D31" s="4" t="n">
        <v>1033</v>
      </c>
      <c r="E31" s="4" t="n">
        <f aca="false">INDEX(Assumptions!$E$4:$E$8,MATCH($C31,Assumptions!$D$4:$D$8,0))*(1+Assumptions!$B$10)^((YEAR($A31)-2024))</f>
        <v>299</v>
      </c>
      <c r="F31" s="4" t="n">
        <f aca="false">D31*E31</f>
        <v>308867</v>
      </c>
    </row>
    <row r="32" customFormat="false" ht="15" hidden="false" customHeight="false" outlineLevel="0" collapsed="false">
      <c r="A32" s="2" t="n">
        <v>45352</v>
      </c>
      <c r="B32" s="3" t="s">
        <v>6</v>
      </c>
      <c r="C32" s="0" t="s">
        <v>7</v>
      </c>
      <c r="D32" s="4" t="n">
        <v>2750</v>
      </c>
      <c r="E32" s="4" t="n">
        <f aca="false">INDEX(Assumptions!$E$4:$E$8,MATCH($C32,Assumptions!$D$4:$D$8,0))*(1+Assumptions!$B$10)^((YEAR($A32)-2024))</f>
        <v>129</v>
      </c>
      <c r="F32" s="4" t="n">
        <f aca="false">D32*E32</f>
        <v>354750</v>
      </c>
    </row>
    <row r="33" customFormat="false" ht="15" hidden="false" customHeight="false" outlineLevel="0" collapsed="false">
      <c r="A33" s="2" t="n">
        <v>45352</v>
      </c>
      <c r="B33" s="3" t="s">
        <v>6</v>
      </c>
      <c r="C33" s="0" t="s">
        <v>8</v>
      </c>
      <c r="D33" s="4" t="n">
        <v>2422</v>
      </c>
      <c r="E33" s="4" t="n">
        <f aca="false">INDEX(Assumptions!$E$4:$E$8,MATCH($C33,Assumptions!$D$4:$D$8,0))*(1+Assumptions!$B$10)^((YEAR($A33)-2024))</f>
        <v>169</v>
      </c>
      <c r="F33" s="4" t="n">
        <f aca="false">D33*E33</f>
        <v>409318</v>
      </c>
    </row>
    <row r="34" customFormat="false" ht="15" hidden="false" customHeight="false" outlineLevel="0" collapsed="false">
      <c r="A34" s="2" t="n">
        <v>45352</v>
      </c>
      <c r="B34" s="3" t="s">
        <v>6</v>
      </c>
      <c r="C34" s="0" t="s">
        <v>9</v>
      </c>
      <c r="D34" s="4" t="n">
        <v>2163</v>
      </c>
      <c r="E34" s="4" t="n">
        <f aca="false">INDEX(Assumptions!$E$4:$E$8,MATCH($C34,Assumptions!$D$4:$D$8,0))*(1+Assumptions!$B$10)^((YEAR($A34)-2024))</f>
        <v>199</v>
      </c>
      <c r="F34" s="4" t="n">
        <f aca="false">D34*E34</f>
        <v>430437</v>
      </c>
    </row>
    <row r="35" customFormat="false" ht="15" hidden="false" customHeight="false" outlineLevel="0" collapsed="false">
      <c r="A35" s="2" t="n">
        <v>45352</v>
      </c>
      <c r="B35" s="3" t="s">
        <v>6</v>
      </c>
      <c r="C35" s="0" t="s">
        <v>10</v>
      </c>
      <c r="D35" s="4" t="n">
        <v>2012</v>
      </c>
      <c r="E35" s="4" t="n">
        <f aca="false">INDEX(Assumptions!$E$4:$E$8,MATCH($C35,Assumptions!$D$4:$D$8,0))*(1+Assumptions!$B$10)^((YEAR($A35)-2024))</f>
        <v>249</v>
      </c>
      <c r="F35" s="4" t="n">
        <f aca="false">D35*E35</f>
        <v>500988</v>
      </c>
    </row>
    <row r="36" customFormat="false" ht="15" hidden="false" customHeight="false" outlineLevel="0" collapsed="false">
      <c r="A36" s="2" t="n">
        <v>45352</v>
      </c>
      <c r="B36" s="3" t="s">
        <v>6</v>
      </c>
      <c r="C36" s="0" t="s">
        <v>11</v>
      </c>
      <c r="D36" s="4" t="n">
        <v>1334</v>
      </c>
      <c r="E36" s="4" t="n">
        <f aca="false">INDEX(Assumptions!$E$4:$E$8,MATCH($C36,Assumptions!$D$4:$D$8,0))*(1+Assumptions!$B$10)^((YEAR($A36)-2024))</f>
        <v>299</v>
      </c>
      <c r="F36" s="4" t="n">
        <f aca="false">D36*E36</f>
        <v>398866</v>
      </c>
    </row>
    <row r="37" customFormat="false" ht="15" hidden="false" customHeight="false" outlineLevel="0" collapsed="false">
      <c r="A37" s="2" t="n">
        <v>45352</v>
      </c>
      <c r="B37" s="3" t="s">
        <v>12</v>
      </c>
      <c r="C37" s="0" t="s">
        <v>7</v>
      </c>
      <c r="D37" s="4" t="n">
        <v>2223</v>
      </c>
      <c r="E37" s="4" t="n">
        <f aca="false">INDEX(Assumptions!$E$4:$E$8,MATCH($C37,Assumptions!$D$4:$D$8,0))*(1+Assumptions!$B$10)^((YEAR($A37)-2024))</f>
        <v>129</v>
      </c>
      <c r="F37" s="4" t="n">
        <f aca="false">D37*E37</f>
        <v>286767</v>
      </c>
    </row>
    <row r="38" customFormat="false" ht="15" hidden="false" customHeight="false" outlineLevel="0" collapsed="false">
      <c r="A38" s="2" t="n">
        <v>45352</v>
      </c>
      <c r="B38" s="3" t="s">
        <v>12</v>
      </c>
      <c r="C38" s="0" t="s">
        <v>8</v>
      </c>
      <c r="D38" s="4" t="n">
        <v>2165</v>
      </c>
      <c r="E38" s="4" t="n">
        <f aca="false">INDEX(Assumptions!$E$4:$E$8,MATCH($C38,Assumptions!$D$4:$D$8,0))*(1+Assumptions!$B$10)^((YEAR($A38)-2024))</f>
        <v>169</v>
      </c>
      <c r="F38" s="4" t="n">
        <f aca="false">D38*E38</f>
        <v>365885</v>
      </c>
    </row>
    <row r="39" customFormat="false" ht="15" hidden="false" customHeight="false" outlineLevel="0" collapsed="false">
      <c r="A39" s="2" t="n">
        <v>45352</v>
      </c>
      <c r="B39" s="3" t="s">
        <v>12</v>
      </c>
      <c r="C39" s="0" t="s">
        <v>9</v>
      </c>
      <c r="D39" s="4" t="n">
        <v>1927</v>
      </c>
      <c r="E39" s="4" t="n">
        <f aca="false">INDEX(Assumptions!$E$4:$E$8,MATCH($C39,Assumptions!$D$4:$D$8,0))*(1+Assumptions!$B$10)^((YEAR($A39)-2024))</f>
        <v>199</v>
      </c>
      <c r="F39" s="4" t="n">
        <f aca="false">D39*E39</f>
        <v>383473</v>
      </c>
    </row>
    <row r="40" customFormat="false" ht="15" hidden="false" customHeight="false" outlineLevel="0" collapsed="false">
      <c r="A40" s="2" t="n">
        <v>45352</v>
      </c>
      <c r="B40" s="3" t="s">
        <v>12</v>
      </c>
      <c r="C40" s="0" t="s">
        <v>10</v>
      </c>
      <c r="D40" s="4" t="n">
        <v>1699</v>
      </c>
      <c r="E40" s="4" t="n">
        <f aca="false">INDEX(Assumptions!$E$4:$E$8,MATCH($C40,Assumptions!$D$4:$D$8,0))*(1+Assumptions!$B$10)^((YEAR($A40)-2024))</f>
        <v>249</v>
      </c>
      <c r="F40" s="4" t="n">
        <f aca="false">D40*E40</f>
        <v>423051</v>
      </c>
    </row>
    <row r="41" customFormat="false" ht="15" hidden="false" customHeight="false" outlineLevel="0" collapsed="false">
      <c r="A41" s="2" t="n">
        <v>45352</v>
      </c>
      <c r="B41" s="3" t="s">
        <v>12</v>
      </c>
      <c r="C41" s="0" t="s">
        <v>11</v>
      </c>
      <c r="D41" s="4" t="n">
        <v>1232</v>
      </c>
      <c r="E41" s="4" t="n">
        <f aca="false">INDEX(Assumptions!$E$4:$E$8,MATCH($C41,Assumptions!$D$4:$D$8,0))*(1+Assumptions!$B$10)^((YEAR($A41)-2024))</f>
        <v>299</v>
      </c>
      <c r="F41" s="4" t="n">
        <f aca="false">D41*E41</f>
        <v>368368</v>
      </c>
    </row>
    <row r="42" customFormat="false" ht="15" hidden="false" customHeight="false" outlineLevel="0" collapsed="false">
      <c r="A42" s="2" t="n">
        <v>45352</v>
      </c>
      <c r="B42" s="3" t="s">
        <v>13</v>
      </c>
      <c r="C42" s="0" t="s">
        <v>7</v>
      </c>
      <c r="D42" s="4" t="n">
        <v>2091</v>
      </c>
      <c r="E42" s="4" t="n">
        <f aca="false">INDEX(Assumptions!$E$4:$E$8,MATCH($C42,Assumptions!$D$4:$D$8,0))*(1+Assumptions!$B$10)^((YEAR($A42)-2024))</f>
        <v>129</v>
      </c>
      <c r="F42" s="4" t="n">
        <f aca="false">D42*E42</f>
        <v>269739</v>
      </c>
    </row>
    <row r="43" customFormat="false" ht="15" hidden="false" customHeight="false" outlineLevel="0" collapsed="false">
      <c r="A43" s="2" t="n">
        <v>45352</v>
      </c>
      <c r="B43" s="3" t="s">
        <v>13</v>
      </c>
      <c r="C43" s="0" t="s">
        <v>8</v>
      </c>
      <c r="D43" s="4" t="n">
        <v>1531</v>
      </c>
      <c r="E43" s="4" t="n">
        <f aca="false">INDEX(Assumptions!$E$4:$E$8,MATCH($C43,Assumptions!$D$4:$D$8,0))*(1+Assumptions!$B$10)^((YEAR($A43)-2024))</f>
        <v>169</v>
      </c>
      <c r="F43" s="4" t="n">
        <f aca="false">D43*E43</f>
        <v>258739</v>
      </c>
    </row>
    <row r="44" customFormat="false" ht="15" hidden="false" customHeight="false" outlineLevel="0" collapsed="false">
      <c r="A44" s="2" t="n">
        <v>45352</v>
      </c>
      <c r="B44" s="3" t="s">
        <v>13</v>
      </c>
      <c r="C44" s="0" t="s">
        <v>9</v>
      </c>
      <c r="D44" s="4" t="n">
        <v>1538</v>
      </c>
      <c r="E44" s="4" t="n">
        <f aca="false">INDEX(Assumptions!$E$4:$E$8,MATCH($C44,Assumptions!$D$4:$D$8,0))*(1+Assumptions!$B$10)^((YEAR($A44)-2024))</f>
        <v>199</v>
      </c>
      <c r="F44" s="4" t="n">
        <f aca="false">D44*E44</f>
        <v>306062</v>
      </c>
    </row>
    <row r="45" customFormat="false" ht="15" hidden="false" customHeight="false" outlineLevel="0" collapsed="false">
      <c r="A45" s="2" t="n">
        <v>45352</v>
      </c>
      <c r="B45" s="3" t="s">
        <v>13</v>
      </c>
      <c r="C45" s="0" t="s">
        <v>10</v>
      </c>
      <c r="D45" s="4" t="n">
        <v>1292</v>
      </c>
      <c r="E45" s="4" t="n">
        <f aca="false">INDEX(Assumptions!$E$4:$E$8,MATCH($C45,Assumptions!$D$4:$D$8,0))*(1+Assumptions!$B$10)^((YEAR($A45)-2024))</f>
        <v>249</v>
      </c>
      <c r="F45" s="4" t="n">
        <f aca="false">D45*E45</f>
        <v>321708</v>
      </c>
    </row>
    <row r="46" customFormat="false" ht="15" hidden="false" customHeight="false" outlineLevel="0" collapsed="false">
      <c r="A46" s="2" t="n">
        <v>45352</v>
      </c>
      <c r="B46" s="3" t="s">
        <v>13</v>
      </c>
      <c r="C46" s="0" t="s">
        <v>11</v>
      </c>
      <c r="D46" s="4" t="n">
        <v>947</v>
      </c>
      <c r="E46" s="4" t="n">
        <f aca="false">INDEX(Assumptions!$E$4:$E$8,MATCH($C46,Assumptions!$D$4:$D$8,0))*(1+Assumptions!$B$10)^((YEAR($A46)-2024))</f>
        <v>299</v>
      </c>
      <c r="F46" s="4" t="n">
        <f aca="false">D46*E46</f>
        <v>283153</v>
      </c>
    </row>
    <row r="47" customFormat="false" ht="15" hidden="false" customHeight="false" outlineLevel="0" collapsed="false">
      <c r="A47" s="2" t="n">
        <v>45383</v>
      </c>
      <c r="B47" s="3" t="s">
        <v>6</v>
      </c>
      <c r="C47" s="0" t="s">
        <v>7</v>
      </c>
      <c r="D47" s="4" t="n">
        <v>2380</v>
      </c>
      <c r="E47" s="4" t="n">
        <f aca="false">INDEX(Assumptions!$E$4:$E$8,MATCH($C47,Assumptions!$D$4:$D$8,0))*(1+Assumptions!$B$10)^((YEAR($A47)-2024))</f>
        <v>129</v>
      </c>
      <c r="F47" s="4" t="n">
        <f aca="false">D47*E47</f>
        <v>307020</v>
      </c>
    </row>
    <row r="48" customFormat="false" ht="15" hidden="false" customHeight="false" outlineLevel="0" collapsed="false">
      <c r="A48" s="2" t="n">
        <v>45383</v>
      </c>
      <c r="B48" s="3" t="s">
        <v>6</v>
      </c>
      <c r="C48" s="0" t="s">
        <v>8</v>
      </c>
      <c r="D48" s="4" t="n">
        <v>2049</v>
      </c>
      <c r="E48" s="4" t="n">
        <f aca="false">INDEX(Assumptions!$E$4:$E$8,MATCH($C48,Assumptions!$D$4:$D$8,0))*(1+Assumptions!$B$10)^((YEAR($A48)-2024))</f>
        <v>169</v>
      </c>
      <c r="F48" s="4" t="n">
        <f aca="false">D48*E48</f>
        <v>346281</v>
      </c>
    </row>
    <row r="49" customFormat="false" ht="15" hidden="false" customHeight="false" outlineLevel="0" collapsed="false">
      <c r="A49" s="2" t="n">
        <v>45383</v>
      </c>
      <c r="B49" s="3" t="s">
        <v>6</v>
      </c>
      <c r="C49" s="0" t="s">
        <v>9</v>
      </c>
      <c r="D49" s="4" t="n">
        <v>2052</v>
      </c>
      <c r="E49" s="4" t="n">
        <f aca="false">INDEX(Assumptions!$E$4:$E$8,MATCH($C49,Assumptions!$D$4:$D$8,0))*(1+Assumptions!$B$10)^((YEAR($A49)-2024))</f>
        <v>199</v>
      </c>
      <c r="F49" s="4" t="n">
        <f aca="false">D49*E49</f>
        <v>408348</v>
      </c>
    </row>
    <row r="50" customFormat="false" ht="15" hidden="false" customHeight="false" outlineLevel="0" collapsed="false">
      <c r="A50" s="2" t="n">
        <v>45383</v>
      </c>
      <c r="B50" s="3" t="s">
        <v>6</v>
      </c>
      <c r="C50" s="0" t="s">
        <v>10</v>
      </c>
      <c r="D50" s="4" t="n">
        <v>1884</v>
      </c>
      <c r="E50" s="4" t="n">
        <f aca="false">INDEX(Assumptions!$E$4:$E$8,MATCH($C50,Assumptions!$D$4:$D$8,0))*(1+Assumptions!$B$10)^((YEAR($A50)-2024))</f>
        <v>249</v>
      </c>
      <c r="F50" s="4" t="n">
        <f aca="false">D50*E50</f>
        <v>469116</v>
      </c>
    </row>
    <row r="51" customFormat="false" ht="15" hidden="false" customHeight="false" outlineLevel="0" collapsed="false">
      <c r="A51" s="2" t="n">
        <v>45383</v>
      </c>
      <c r="B51" s="3" t="s">
        <v>6</v>
      </c>
      <c r="C51" s="0" t="s">
        <v>11</v>
      </c>
      <c r="D51" s="4" t="n">
        <v>1365</v>
      </c>
      <c r="E51" s="4" t="n">
        <f aca="false">INDEX(Assumptions!$E$4:$E$8,MATCH($C51,Assumptions!$D$4:$D$8,0))*(1+Assumptions!$B$10)^((YEAR($A51)-2024))</f>
        <v>299</v>
      </c>
      <c r="F51" s="4" t="n">
        <f aca="false">D51*E51</f>
        <v>408135</v>
      </c>
    </row>
    <row r="52" customFormat="false" ht="15" hidden="false" customHeight="false" outlineLevel="0" collapsed="false">
      <c r="A52" s="2" t="n">
        <v>45383</v>
      </c>
      <c r="B52" s="3" t="s">
        <v>12</v>
      </c>
      <c r="C52" s="0" t="s">
        <v>7</v>
      </c>
      <c r="D52" s="4" t="n">
        <v>2162</v>
      </c>
      <c r="E52" s="4" t="n">
        <f aca="false">INDEX(Assumptions!$E$4:$E$8,MATCH($C52,Assumptions!$D$4:$D$8,0))*(1+Assumptions!$B$10)^((YEAR($A52)-2024))</f>
        <v>129</v>
      </c>
      <c r="F52" s="4" t="n">
        <f aca="false">D52*E52</f>
        <v>278898</v>
      </c>
    </row>
    <row r="53" customFormat="false" ht="15" hidden="false" customHeight="false" outlineLevel="0" collapsed="false">
      <c r="A53" s="2" t="n">
        <v>45383</v>
      </c>
      <c r="B53" s="3" t="s">
        <v>12</v>
      </c>
      <c r="C53" s="0" t="s">
        <v>8</v>
      </c>
      <c r="D53" s="4" t="n">
        <v>1848</v>
      </c>
      <c r="E53" s="4" t="n">
        <f aca="false">INDEX(Assumptions!$E$4:$E$8,MATCH($C53,Assumptions!$D$4:$D$8,0))*(1+Assumptions!$B$10)^((YEAR($A53)-2024))</f>
        <v>169</v>
      </c>
      <c r="F53" s="4" t="n">
        <f aca="false">D53*E53</f>
        <v>312312</v>
      </c>
    </row>
    <row r="54" customFormat="false" ht="15" hidden="false" customHeight="false" outlineLevel="0" collapsed="false">
      <c r="A54" s="2" t="n">
        <v>45383</v>
      </c>
      <c r="B54" s="3" t="s">
        <v>12</v>
      </c>
      <c r="C54" s="0" t="s">
        <v>9</v>
      </c>
      <c r="D54" s="4" t="n">
        <v>1778</v>
      </c>
      <c r="E54" s="4" t="n">
        <f aca="false">INDEX(Assumptions!$E$4:$E$8,MATCH($C54,Assumptions!$D$4:$D$8,0))*(1+Assumptions!$B$10)^((YEAR($A54)-2024))</f>
        <v>199</v>
      </c>
      <c r="F54" s="4" t="n">
        <f aca="false">D54*E54</f>
        <v>353822</v>
      </c>
    </row>
    <row r="55" customFormat="false" ht="15" hidden="false" customHeight="false" outlineLevel="0" collapsed="false">
      <c r="A55" s="2" t="n">
        <v>45383</v>
      </c>
      <c r="B55" s="3" t="s">
        <v>12</v>
      </c>
      <c r="C55" s="0" t="s">
        <v>10</v>
      </c>
      <c r="D55" s="4" t="n">
        <v>1781</v>
      </c>
      <c r="E55" s="4" t="n">
        <f aca="false">INDEX(Assumptions!$E$4:$E$8,MATCH($C55,Assumptions!$D$4:$D$8,0))*(1+Assumptions!$B$10)^((YEAR($A55)-2024))</f>
        <v>249</v>
      </c>
      <c r="F55" s="4" t="n">
        <f aca="false">D55*E55</f>
        <v>443469</v>
      </c>
    </row>
    <row r="56" customFormat="false" ht="15" hidden="false" customHeight="false" outlineLevel="0" collapsed="false">
      <c r="A56" s="2" t="n">
        <v>45383</v>
      </c>
      <c r="B56" s="3" t="s">
        <v>12</v>
      </c>
      <c r="C56" s="0" t="s">
        <v>11</v>
      </c>
      <c r="D56" s="4" t="n">
        <v>1292</v>
      </c>
      <c r="E56" s="4" t="n">
        <f aca="false">INDEX(Assumptions!$E$4:$E$8,MATCH($C56,Assumptions!$D$4:$D$8,0))*(1+Assumptions!$B$10)^((YEAR($A56)-2024))</f>
        <v>299</v>
      </c>
      <c r="F56" s="4" t="n">
        <f aca="false">D56*E56</f>
        <v>386308</v>
      </c>
    </row>
    <row r="57" customFormat="false" ht="15" hidden="false" customHeight="false" outlineLevel="0" collapsed="false">
      <c r="A57" s="2" t="n">
        <v>45383</v>
      </c>
      <c r="B57" s="3" t="s">
        <v>13</v>
      </c>
      <c r="C57" s="0" t="s">
        <v>7</v>
      </c>
      <c r="D57" s="4" t="n">
        <v>2091</v>
      </c>
      <c r="E57" s="4" t="n">
        <f aca="false">INDEX(Assumptions!$E$4:$E$8,MATCH($C57,Assumptions!$D$4:$D$8,0))*(1+Assumptions!$B$10)^((YEAR($A57)-2024))</f>
        <v>129</v>
      </c>
      <c r="F57" s="4" t="n">
        <f aca="false">D57*E57</f>
        <v>269739</v>
      </c>
    </row>
    <row r="58" customFormat="false" ht="15" hidden="false" customHeight="false" outlineLevel="0" collapsed="false">
      <c r="A58" s="2" t="n">
        <v>45383</v>
      </c>
      <c r="B58" s="3" t="s">
        <v>13</v>
      </c>
      <c r="C58" s="0" t="s">
        <v>8</v>
      </c>
      <c r="D58" s="4" t="n">
        <v>1642</v>
      </c>
      <c r="E58" s="4" t="n">
        <f aca="false">INDEX(Assumptions!$E$4:$E$8,MATCH($C58,Assumptions!$D$4:$D$8,0))*(1+Assumptions!$B$10)^((YEAR($A58)-2024))</f>
        <v>169</v>
      </c>
      <c r="F58" s="4" t="n">
        <f aca="false">D58*E58</f>
        <v>277498</v>
      </c>
    </row>
    <row r="59" customFormat="false" ht="15" hidden="false" customHeight="false" outlineLevel="0" collapsed="false">
      <c r="A59" s="2" t="n">
        <v>45383</v>
      </c>
      <c r="B59" s="3" t="s">
        <v>13</v>
      </c>
      <c r="C59" s="0" t="s">
        <v>9</v>
      </c>
      <c r="D59" s="4" t="n">
        <v>1839</v>
      </c>
      <c r="E59" s="4" t="n">
        <f aca="false">INDEX(Assumptions!$E$4:$E$8,MATCH($C59,Assumptions!$D$4:$D$8,0))*(1+Assumptions!$B$10)^((YEAR($A59)-2024))</f>
        <v>199</v>
      </c>
      <c r="F59" s="4" t="n">
        <f aca="false">D59*E59</f>
        <v>365961</v>
      </c>
    </row>
    <row r="60" customFormat="false" ht="15" hidden="false" customHeight="false" outlineLevel="0" collapsed="false">
      <c r="A60" s="2" t="n">
        <v>45383</v>
      </c>
      <c r="B60" s="3" t="s">
        <v>13</v>
      </c>
      <c r="C60" s="0" t="s">
        <v>10</v>
      </c>
      <c r="D60" s="4" t="n">
        <v>1274</v>
      </c>
      <c r="E60" s="4" t="n">
        <f aca="false">INDEX(Assumptions!$E$4:$E$8,MATCH($C60,Assumptions!$D$4:$D$8,0))*(1+Assumptions!$B$10)^((YEAR($A60)-2024))</f>
        <v>249</v>
      </c>
      <c r="F60" s="4" t="n">
        <f aca="false">D60*E60</f>
        <v>317226</v>
      </c>
    </row>
    <row r="61" customFormat="false" ht="15" hidden="false" customHeight="false" outlineLevel="0" collapsed="false">
      <c r="A61" s="2" t="n">
        <v>45383</v>
      </c>
      <c r="B61" s="3" t="s">
        <v>13</v>
      </c>
      <c r="C61" s="0" t="s">
        <v>11</v>
      </c>
      <c r="D61" s="4" t="n">
        <v>1073</v>
      </c>
      <c r="E61" s="4" t="n">
        <f aca="false">INDEX(Assumptions!$E$4:$E$8,MATCH($C61,Assumptions!$D$4:$D$8,0))*(1+Assumptions!$B$10)^((YEAR($A61)-2024))</f>
        <v>299</v>
      </c>
      <c r="F61" s="4" t="n">
        <f aca="false">D61*E61</f>
        <v>320827</v>
      </c>
    </row>
    <row r="62" customFormat="false" ht="15" hidden="false" customHeight="false" outlineLevel="0" collapsed="false">
      <c r="A62" s="2" t="n">
        <v>45413</v>
      </c>
      <c r="B62" s="3" t="s">
        <v>6</v>
      </c>
      <c r="C62" s="0" t="s">
        <v>7</v>
      </c>
      <c r="D62" s="4" t="n">
        <v>2887</v>
      </c>
      <c r="E62" s="4" t="n">
        <f aca="false">INDEX(Assumptions!$E$4:$E$8,MATCH($C62,Assumptions!$D$4:$D$8,0))*(1+Assumptions!$B$10)^((YEAR($A62)-2024))</f>
        <v>129</v>
      </c>
      <c r="F62" s="4" t="n">
        <f aca="false">D62*E62</f>
        <v>372423</v>
      </c>
    </row>
    <row r="63" customFormat="false" ht="15" hidden="false" customHeight="false" outlineLevel="0" collapsed="false">
      <c r="A63" s="2" t="n">
        <v>45413</v>
      </c>
      <c r="B63" s="3" t="s">
        <v>6</v>
      </c>
      <c r="C63" s="0" t="s">
        <v>8</v>
      </c>
      <c r="D63" s="4" t="n">
        <v>2361</v>
      </c>
      <c r="E63" s="4" t="n">
        <f aca="false">INDEX(Assumptions!$E$4:$E$8,MATCH($C63,Assumptions!$D$4:$D$8,0))*(1+Assumptions!$B$10)^((YEAR($A63)-2024))</f>
        <v>169</v>
      </c>
      <c r="F63" s="4" t="n">
        <f aca="false">D63*E63</f>
        <v>399009</v>
      </c>
    </row>
    <row r="64" customFormat="false" ht="15" hidden="false" customHeight="false" outlineLevel="0" collapsed="false">
      <c r="A64" s="2" t="n">
        <v>45413</v>
      </c>
      <c r="B64" s="3" t="s">
        <v>6</v>
      </c>
      <c r="C64" s="0" t="s">
        <v>9</v>
      </c>
      <c r="D64" s="4" t="n">
        <v>2177</v>
      </c>
      <c r="E64" s="4" t="n">
        <f aca="false">INDEX(Assumptions!$E$4:$E$8,MATCH($C64,Assumptions!$D$4:$D$8,0))*(1+Assumptions!$B$10)^((YEAR($A64)-2024))</f>
        <v>199</v>
      </c>
      <c r="F64" s="4" t="n">
        <f aca="false">D64*E64</f>
        <v>433223</v>
      </c>
    </row>
    <row r="65" customFormat="false" ht="15" hidden="false" customHeight="false" outlineLevel="0" collapsed="false">
      <c r="A65" s="2" t="n">
        <v>45413</v>
      </c>
      <c r="B65" s="3" t="s">
        <v>6</v>
      </c>
      <c r="C65" s="0" t="s">
        <v>10</v>
      </c>
      <c r="D65" s="4" t="n">
        <v>1860</v>
      </c>
      <c r="E65" s="4" t="n">
        <f aca="false">INDEX(Assumptions!$E$4:$E$8,MATCH($C65,Assumptions!$D$4:$D$8,0))*(1+Assumptions!$B$10)^((YEAR($A65)-2024))</f>
        <v>249</v>
      </c>
      <c r="F65" s="4" t="n">
        <f aca="false">D65*E65</f>
        <v>463140</v>
      </c>
    </row>
    <row r="66" customFormat="false" ht="15" hidden="false" customHeight="false" outlineLevel="0" collapsed="false">
      <c r="A66" s="2" t="n">
        <v>45413</v>
      </c>
      <c r="B66" s="3" t="s">
        <v>6</v>
      </c>
      <c r="C66" s="0" t="s">
        <v>11</v>
      </c>
      <c r="D66" s="4" t="n">
        <v>1527</v>
      </c>
      <c r="E66" s="4" t="n">
        <f aca="false">INDEX(Assumptions!$E$4:$E$8,MATCH($C66,Assumptions!$D$4:$D$8,0))*(1+Assumptions!$B$10)^((YEAR($A66)-2024))</f>
        <v>299</v>
      </c>
      <c r="F66" s="4" t="n">
        <f aca="false">D66*E66</f>
        <v>456573</v>
      </c>
    </row>
    <row r="67" customFormat="false" ht="15" hidden="false" customHeight="false" outlineLevel="0" collapsed="false">
      <c r="A67" s="2" t="n">
        <v>45413</v>
      </c>
      <c r="B67" s="3" t="s">
        <v>12</v>
      </c>
      <c r="C67" s="0" t="s">
        <v>7</v>
      </c>
      <c r="D67" s="4" t="n">
        <v>2371</v>
      </c>
      <c r="E67" s="4" t="n">
        <f aca="false">INDEX(Assumptions!$E$4:$E$8,MATCH($C67,Assumptions!$D$4:$D$8,0))*(1+Assumptions!$B$10)^((YEAR($A67)-2024))</f>
        <v>129</v>
      </c>
      <c r="F67" s="4" t="n">
        <f aca="false">D67*E67</f>
        <v>305859</v>
      </c>
    </row>
    <row r="68" customFormat="false" ht="15" hidden="false" customHeight="false" outlineLevel="0" collapsed="false">
      <c r="A68" s="2" t="n">
        <v>45413</v>
      </c>
      <c r="B68" s="3" t="s">
        <v>12</v>
      </c>
      <c r="C68" s="0" t="s">
        <v>8</v>
      </c>
      <c r="D68" s="4" t="n">
        <v>1810</v>
      </c>
      <c r="E68" s="4" t="n">
        <f aca="false">INDEX(Assumptions!$E$4:$E$8,MATCH($C68,Assumptions!$D$4:$D$8,0))*(1+Assumptions!$B$10)^((YEAR($A68)-2024))</f>
        <v>169</v>
      </c>
      <c r="F68" s="4" t="n">
        <f aca="false">D68*E68</f>
        <v>305890</v>
      </c>
    </row>
    <row r="69" customFormat="false" ht="15" hidden="false" customHeight="false" outlineLevel="0" collapsed="false">
      <c r="A69" s="2" t="n">
        <v>45413</v>
      </c>
      <c r="B69" s="3" t="s">
        <v>12</v>
      </c>
      <c r="C69" s="0" t="s">
        <v>9</v>
      </c>
      <c r="D69" s="4" t="n">
        <v>1599</v>
      </c>
      <c r="E69" s="4" t="n">
        <f aca="false">INDEX(Assumptions!$E$4:$E$8,MATCH($C69,Assumptions!$D$4:$D$8,0))*(1+Assumptions!$B$10)^((YEAR($A69)-2024))</f>
        <v>199</v>
      </c>
      <c r="F69" s="4" t="n">
        <f aca="false">D69*E69</f>
        <v>318201</v>
      </c>
    </row>
    <row r="70" customFormat="false" ht="15" hidden="false" customHeight="false" outlineLevel="0" collapsed="false">
      <c r="A70" s="2" t="n">
        <v>45413</v>
      </c>
      <c r="B70" s="3" t="s">
        <v>12</v>
      </c>
      <c r="C70" s="0" t="s">
        <v>10</v>
      </c>
      <c r="D70" s="4" t="n">
        <v>1447</v>
      </c>
      <c r="E70" s="4" t="n">
        <f aca="false">INDEX(Assumptions!$E$4:$E$8,MATCH($C70,Assumptions!$D$4:$D$8,0))*(1+Assumptions!$B$10)^((YEAR($A70)-2024))</f>
        <v>249</v>
      </c>
      <c r="F70" s="4" t="n">
        <f aca="false">D70*E70</f>
        <v>360303</v>
      </c>
    </row>
    <row r="71" customFormat="false" ht="15" hidden="false" customHeight="false" outlineLevel="0" collapsed="false">
      <c r="A71" s="2" t="n">
        <v>45413</v>
      </c>
      <c r="B71" s="3" t="s">
        <v>12</v>
      </c>
      <c r="C71" s="0" t="s">
        <v>11</v>
      </c>
      <c r="D71" s="4" t="n">
        <v>1120</v>
      </c>
      <c r="E71" s="4" t="n">
        <f aca="false">INDEX(Assumptions!$E$4:$E$8,MATCH($C71,Assumptions!$D$4:$D$8,0))*(1+Assumptions!$B$10)^((YEAR($A71)-2024))</f>
        <v>299</v>
      </c>
      <c r="F71" s="4" t="n">
        <f aca="false">D71*E71</f>
        <v>334880</v>
      </c>
    </row>
    <row r="72" customFormat="false" ht="15" hidden="false" customHeight="false" outlineLevel="0" collapsed="false">
      <c r="A72" s="2" t="n">
        <v>45413</v>
      </c>
      <c r="B72" s="3" t="s">
        <v>13</v>
      </c>
      <c r="C72" s="0" t="s">
        <v>7</v>
      </c>
      <c r="D72" s="4" t="n">
        <v>1799</v>
      </c>
      <c r="E72" s="4" t="n">
        <f aca="false">INDEX(Assumptions!$E$4:$E$8,MATCH($C72,Assumptions!$D$4:$D$8,0))*(1+Assumptions!$B$10)^((YEAR($A72)-2024))</f>
        <v>129</v>
      </c>
      <c r="F72" s="4" t="n">
        <f aca="false">D72*E72</f>
        <v>232071</v>
      </c>
    </row>
    <row r="73" customFormat="false" ht="15" hidden="false" customHeight="false" outlineLevel="0" collapsed="false">
      <c r="A73" s="2" t="n">
        <v>45413</v>
      </c>
      <c r="B73" s="3" t="s">
        <v>13</v>
      </c>
      <c r="C73" s="0" t="s">
        <v>8</v>
      </c>
      <c r="D73" s="4" t="n">
        <v>2009</v>
      </c>
      <c r="E73" s="4" t="n">
        <f aca="false">INDEX(Assumptions!$E$4:$E$8,MATCH($C73,Assumptions!$D$4:$D$8,0))*(1+Assumptions!$B$10)^((YEAR($A73)-2024))</f>
        <v>169</v>
      </c>
      <c r="F73" s="4" t="n">
        <f aca="false">D73*E73</f>
        <v>339521</v>
      </c>
    </row>
    <row r="74" customFormat="false" ht="15" hidden="false" customHeight="false" outlineLevel="0" collapsed="false">
      <c r="A74" s="2" t="n">
        <v>45413</v>
      </c>
      <c r="B74" s="3" t="s">
        <v>13</v>
      </c>
      <c r="C74" s="0" t="s">
        <v>9</v>
      </c>
      <c r="D74" s="4" t="n">
        <v>1864</v>
      </c>
      <c r="E74" s="4" t="n">
        <f aca="false">INDEX(Assumptions!$E$4:$E$8,MATCH($C74,Assumptions!$D$4:$D$8,0))*(1+Assumptions!$B$10)^((YEAR($A74)-2024))</f>
        <v>199</v>
      </c>
      <c r="F74" s="4" t="n">
        <f aca="false">D74*E74</f>
        <v>370936</v>
      </c>
    </row>
    <row r="75" customFormat="false" ht="15" hidden="false" customHeight="false" outlineLevel="0" collapsed="false">
      <c r="A75" s="2" t="n">
        <v>45413</v>
      </c>
      <c r="B75" s="3" t="s">
        <v>13</v>
      </c>
      <c r="C75" s="0" t="s">
        <v>10</v>
      </c>
      <c r="D75" s="4" t="n">
        <v>1302</v>
      </c>
      <c r="E75" s="4" t="n">
        <f aca="false">INDEX(Assumptions!$E$4:$E$8,MATCH($C75,Assumptions!$D$4:$D$8,0))*(1+Assumptions!$B$10)^((YEAR($A75)-2024))</f>
        <v>249</v>
      </c>
      <c r="F75" s="4" t="n">
        <f aca="false">D75*E75</f>
        <v>324198</v>
      </c>
    </row>
    <row r="76" customFormat="false" ht="15" hidden="false" customHeight="false" outlineLevel="0" collapsed="false">
      <c r="A76" s="2" t="n">
        <v>45413</v>
      </c>
      <c r="B76" s="3" t="s">
        <v>13</v>
      </c>
      <c r="C76" s="0" t="s">
        <v>11</v>
      </c>
      <c r="D76" s="4" t="n">
        <v>1134</v>
      </c>
      <c r="E76" s="4" t="n">
        <f aca="false">INDEX(Assumptions!$E$4:$E$8,MATCH($C76,Assumptions!$D$4:$D$8,0))*(1+Assumptions!$B$10)^((YEAR($A76)-2024))</f>
        <v>299</v>
      </c>
      <c r="F76" s="4" t="n">
        <f aca="false">D76*E76</f>
        <v>339066</v>
      </c>
    </row>
    <row r="77" customFormat="false" ht="15" hidden="false" customHeight="false" outlineLevel="0" collapsed="false">
      <c r="A77" s="2" t="n">
        <v>45444</v>
      </c>
      <c r="B77" s="3" t="s">
        <v>6</v>
      </c>
      <c r="C77" s="0" t="s">
        <v>7</v>
      </c>
      <c r="D77" s="4" t="n">
        <v>2255</v>
      </c>
      <c r="E77" s="4" t="n">
        <f aca="false">INDEX(Assumptions!$E$4:$E$8,MATCH($C77,Assumptions!$D$4:$D$8,0))*(1+Assumptions!$B$10)^((YEAR($A77)-2024))</f>
        <v>129</v>
      </c>
      <c r="F77" s="4" t="n">
        <f aca="false">D77*E77</f>
        <v>290895</v>
      </c>
    </row>
    <row r="78" customFormat="false" ht="15" hidden="false" customHeight="false" outlineLevel="0" collapsed="false">
      <c r="A78" s="2" t="n">
        <v>45444</v>
      </c>
      <c r="B78" s="3" t="s">
        <v>6</v>
      </c>
      <c r="C78" s="0" t="s">
        <v>8</v>
      </c>
      <c r="D78" s="4" t="n">
        <v>2356</v>
      </c>
      <c r="E78" s="4" t="n">
        <f aca="false">INDEX(Assumptions!$E$4:$E$8,MATCH($C78,Assumptions!$D$4:$D$8,0))*(1+Assumptions!$B$10)^((YEAR($A78)-2024))</f>
        <v>169</v>
      </c>
      <c r="F78" s="4" t="n">
        <f aca="false">D78*E78</f>
        <v>398164</v>
      </c>
    </row>
    <row r="79" customFormat="false" ht="15" hidden="false" customHeight="false" outlineLevel="0" collapsed="false">
      <c r="A79" s="2" t="n">
        <v>45444</v>
      </c>
      <c r="B79" s="3" t="s">
        <v>6</v>
      </c>
      <c r="C79" s="0" t="s">
        <v>9</v>
      </c>
      <c r="D79" s="4" t="n">
        <v>1955</v>
      </c>
      <c r="E79" s="4" t="n">
        <f aca="false">INDEX(Assumptions!$E$4:$E$8,MATCH($C79,Assumptions!$D$4:$D$8,0))*(1+Assumptions!$B$10)^((YEAR($A79)-2024))</f>
        <v>199</v>
      </c>
      <c r="F79" s="4" t="n">
        <f aca="false">D79*E79</f>
        <v>389045</v>
      </c>
    </row>
    <row r="80" customFormat="false" ht="15" hidden="false" customHeight="false" outlineLevel="0" collapsed="false">
      <c r="A80" s="2" t="n">
        <v>45444</v>
      </c>
      <c r="B80" s="3" t="s">
        <v>6</v>
      </c>
      <c r="C80" s="0" t="s">
        <v>10</v>
      </c>
      <c r="D80" s="4" t="n">
        <v>1515</v>
      </c>
      <c r="E80" s="4" t="n">
        <f aca="false">INDEX(Assumptions!$E$4:$E$8,MATCH($C80,Assumptions!$D$4:$D$8,0))*(1+Assumptions!$B$10)^((YEAR($A80)-2024))</f>
        <v>249</v>
      </c>
      <c r="F80" s="4" t="n">
        <f aca="false">D80*E80</f>
        <v>377235</v>
      </c>
    </row>
    <row r="81" customFormat="false" ht="15" hidden="false" customHeight="false" outlineLevel="0" collapsed="false">
      <c r="A81" s="2" t="n">
        <v>45444</v>
      </c>
      <c r="B81" s="3" t="s">
        <v>6</v>
      </c>
      <c r="C81" s="0" t="s">
        <v>11</v>
      </c>
      <c r="D81" s="4" t="n">
        <v>1183</v>
      </c>
      <c r="E81" s="4" t="n">
        <f aca="false">INDEX(Assumptions!$E$4:$E$8,MATCH($C81,Assumptions!$D$4:$D$8,0))*(1+Assumptions!$B$10)^((YEAR($A81)-2024))</f>
        <v>299</v>
      </c>
      <c r="F81" s="4" t="n">
        <f aca="false">D81*E81</f>
        <v>353717</v>
      </c>
    </row>
    <row r="82" customFormat="false" ht="15" hidden="false" customHeight="false" outlineLevel="0" collapsed="false">
      <c r="A82" s="2" t="n">
        <v>45444</v>
      </c>
      <c r="B82" s="3" t="s">
        <v>12</v>
      </c>
      <c r="C82" s="0" t="s">
        <v>7</v>
      </c>
      <c r="D82" s="4" t="n">
        <v>2062</v>
      </c>
      <c r="E82" s="4" t="n">
        <f aca="false">INDEX(Assumptions!$E$4:$E$8,MATCH($C82,Assumptions!$D$4:$D$8,0))*(1+Assumptions!$B$10)^((YEAR($A82)-2024))</f>
        <v>129</v>
      </c>
      <c r="F82" s="4" t="n">
        <f aca="false">D82*E82</f>
        <v>265998</v>
      </c>
    </row>
    <row r="83" customFormat="false" ht="15" hidden="false" customHeight="false" outlineLevel="0" collapsed="false">
      <c r="A83" s="2" t="n">
        <v>45444</v>
      </c>
      <c r="B83" s="3" t="s">
        <v>12</v>
      </c>
      <c r="C83" s="0" t="s">
        <v>8</v>
      </c>
      <c r="D83" s="4" t="n">
        <v>1692</v>
      </c>
      <c r="E83" s="4" t="n">
        <f aca="false">INDEX(Assumptions!$E$4:$E$8,MATCH($C83,Assumptions!$D$4:$D$8,0))*(1+Assumptions!$B$10)^((YEAR($A83)-2024))</f>
        <v>169</v>
      </c>
      <c r="F83" s="4" t="n">
        <f aca="false">D83*E83</f>
        <v>285948</v>
      </c>
    </row>
    <row r="84" customFormat="false" ht="15" hidden="false" customHeight="false" outlineLevel="0" collapsed="false">
      <c r="A84" s="2" t="n">
        <v>45444</v>
      </c>
      <c r="B84" s="3" t="s">
        <v>12</v>
      </c>
      <c r="C84" s="0" t="s">
        <v>9</v>
      </c>
      <c r="D84" s="4" t="n">
        <v>1764</v>
      </c>
      <c r="E84" s="4" t="n">
        <f aca="false">INDEX(Assumptions!$E$4:$E$8,MATCH($C84,Assumptions!$D$4:$D$8,0))*(1+Assumptions!$B$10)^((YEAR($A84)-2024))</f>
        <v>199</v>
      </c>
      <c r="F84" s="4" t="n">
        <f aca="false">D84*E84</f>
        <v>351036</v>
      </c>
    </row>
    <row r="85" customFormat="false" ht="15" hidden="false" customHeight="false" outlineLevel="0" collapsed="false">
      <c r="A85" s="2" t="n">
        <v>45444</v>
      </c>
      <c r="B85" s="3" t="s">
        <v>12</v>
      </c>
      <c r="C85" s="0" t="s">
        <v>10</v>
      </c>
      <c r="D85" s="4" t="n">
        <v>1586</v>
      </c>
      <c r="E85" s="4" t="n">
        <f aca="false">INDEX(Assumptions!$E$4:$E$8,MATCH($C85,Assumptions!$D$4:$D$8,0))*(1+Assumptions!$B$10)^((YEAR($A85)-2024))</f>
        <v>249</v>
      </c>
      <c r="F85" s="4" t="n">
        <f aca="false">D85*E85</f>
        <v>394914</v>
      </c>
    </row>
    <row r="86" customFormat="false" ht="15" hidden="false" customHeight="false" outlineLevel="0" collapsed="false">
      <c r="A86" s="2" t="n">
        <v>45444</v>
      </c>
      <c r="B86" s="3" t="s">
        <v>12</v>
      </c>
      <c r="C86" s="0" t="s">
        <v>11</v>
      </c>
      <c r="D86" s="4" t="n">
        <v>1080</v>
      </c>
      <c r="E86" s="4" t="n">
        <f aca="false">INDEX(Assumptions!$E$4:$E$8,MATCH($C86,Assumptions!$D$4:$D$8,0))*(1+Assumptions!$B$10)^((YEAR($A86)-2024))</f>
        <v>299</v>
      </c>
      <c r="F86" s="4" t="n">
        <f aca="false">D86*E86</f>
        <v>322920</v>
      </c>
    </row>
    <row r="87" customFormat="false" ht="15" hidden="false" customHeight="false" outlineLevel="0" collapsed="false">
      <c r="A87" s="2" t="n">
        <v>45444</v>
      </c>
      <c r="B87" s="3" t="s">
        <v>13</v>
      </c>
      <c r="C87" s="0" t="s">
        <v>7</v>
      </c>
      <c r="D87" s="4" t="n">
        <v>1669</v>
      </c>
      <c r="E87" s="4" t="n">
        <f aca="false">INDEX(Assumptions!$E$4:$E$8,MATCH($C87,Assumptions!$D$4:$D$8,0))*(1+Assumptions!$B$10)^((YEAR($A87)-2024))</f>
        <v>129</v>
      </c>
      <c r="F87" s="4" t="n">
        <f aca="false">D87*E87</f>
        <v>215301</v>
      </c>
    </row>
    <row r="88" customFormat="false" ht="15" hidden="false" customHeight="false" outlineLevel="0" collapsed="false">
      <c r="A88" s="2" t="n">
        <v>45444</v>
      </c>
      <c r="B88" s="3" t="s">
        <v>13</v>
      </c>
      <c r="C88" s="0" t="s">
        <v>8</v>
      </c>
      <c r="D88" s="4" t="n">
        <v>1885</v>
      </c>
      <c r="E88" s="4" t="n">
        <f aca="false">INDEX(Assumptions!$E$4:$E$8,MATCH($C88,Assumptions!$D$4:$D$8,0))*(1+Assumptions!$B$10)^((YEAR($A88)-2024))</f>
        <v>169</v>
      </c>
      <c r="F88" s="4" t="n">
        <f aca="false">D88*E88</f>
        <v>318565</v>
      </c>
    </row>
    <row r="89" customFormat="false" ht="15" hidden="false" customHeight="false" outlineLevel="0" collapsed="false">
      <c r="A89" s="2" t="n">
        <v>45444</v>
      </c>
      <c r="B89" s="3" t="s">
        <v>13</v>
      </c>
      <c r="C89" s="0" t="s">
        <v>9</v>
      </c>
      <c r="D89" s="4" t="n">
        <v>1553</v>
      </c>
      <c r="E89" s="4" t="n">
        <f aca="false">INDEX(Assumptions!$E$4:$E$8,MATCH($C89,Assumptions!$D$4:$D$8,0))*(1+Assumptions!$B$10)^((YEAR($A89)-2024))</f>
        <v>199</v>
      </c>
      <c r="F89" s="4" t="n">
        <f aca="false">D89*E89</f>
        <v>309047</v>
      </c>
    </row>
    <row r="90" customFormat="false" ht="15" hidden="false" customHeight="false" outlineLevel="0" collapsed="false">
      <c r="A90" s="2" t="n">
        <v>45444</v>
      </c>
      <c r="B90" s="3" t="s">
        <v>13</v>
      </c>
      <c r="C90" s="0" t="s">
        <v>10</v>
      </c>
      <c r="D90" s="4" t="n">
        <v>1119</v>
      </c>
      <c r="E90" s="4" t="n">
        <f aca="false">INDEX(Assumptions!$E$4:$E$8,MATCH($C90,Assumptions!$D$4:$D$8,0))*(1+Assumptions!$B$10)^((YEAR($A90)-2024))</f>
        <v>249</v>
      </c>
      <c r="F90" s="4" t="n">
        <f aca="false">D90*E90</f>
        <v>278631</v>
      </c>
    </row>
    <row r="91" customFormat="false" ht="15" hidden="false" customHeight="false" outlineLevel="0" collapsed="false">
      <c r="A91" s="2" t="n">
        <v>45444</v>
      </c>
      <c r="B91" s="3" t="s">
        <v>13</v>
      </c>
      <c r="C91" s="0" t="s">
        <v>11</v>
      </c>
      <c r="D91" s="4" t="n">
        <v>866</v>
      </c>
      <c r="E91" s="4" t="n">
        <f aca="false">INDEX(Assumptions!$E$4:$E$8,MATCH($C91,Assumptions!$D$4:$D$8,0))*(1+Assumptions!$B$10)^((YEAR($A91)-2024))</f>
        <v>299</v>
      </c>
      <c r="F91" s="4" t="n">
        <f aca="false">D91*E91</f>
        <v>258934</v>
      </c>
    </row>
    <row r="92" customFormat="false" ht="15" hidden="false" customHeight="false" outlineLevel="0" collapsed="false">
      <c r="A92" s="2" t="n">
        <v>45474</v>
      </c>
      <c r="B92" s="3" t="s">
        <v>6</v>
      </c>
      <c r="C92" s="0" t="s">
        <v>7</v>
      </c>
      <c r="D92" s="4" t="n">
        <v>1827</v>
      </c>
      <c r="E92" s="4" t="n">
        <f aca="false">INDEX(Assumptions!$E$4:$E$8,MATCH($C92,Assumptions!$D$4:$D$8,0))*(1+Assumptions!$B$10)^((YEAR($A92)-2024))</f>
        <v>129</v>
      </c>
      <c r="F92" s="4" t="n">
        <f aca="false">D92*E92</f>
        <v>235683</v>
      </c>
    </row>
    <row r="93" customFormat="false" ht="15" hidden="false" customHeight="false" outlineLevel="0" collapsed="false">
      <c r="A93" s="2" t="n">
        <v>45474</v>
      </c>
      <c r="B93" s="3" t="s">
        <v>6</v>
      </c>
      <c r="C93" s="0" t="s">
        <v>8</v>
      </c>
      <c r="D93" s="4" t="n">
        <v>1934</v>
      </c>
      <c r="E93" s="4" t="n">
        <f aca="false">INDEX(Assumptions!$E$4:$E$8,MATCH($C93,Assumptions!$D$4:$D$8,0))*(1+Assumptions!$B$10)^((YEAR($A93)-2024))</f>
        <v>169</v>
      </c>
      <c r="F93" s="4" t="n">
        <f aca="false">D93*E93</f>
        <v>326846</v>
      </c>
    </row>
    <row r="94" customFormat="false" ht="15" hidden="false" customHeight="false" outlineLevel="0" collapsed="false">
      <c r="A94" s="2" t="n">
        <v>45474</v>
      </c>
      <c r="B94" s="3" t="s">
        <v>6</v>
      </c>
      <c r="C94" s="0" t="s">
        <v>9</v>
      </c>
      <c r="D94" s="4" t="n">
        <v>1913</v>
      </c>
      <c r="E94" s="4" t="n">
        <f aca="false">INDEX(Assumptions!$E$4:$E$8,MATCH($C94,Assumptions!$D$4:$D$8,0))*(1+Assumptions!$B$10)^((YEAR($A94)-2024))</f>
        <v>199</v>
      </c>
      <c r="F94" s="4" t="n">
        <f aca="false">D94*E94</f>
        <v>380687</v>
      </c>
    </row>
    <row r="95" customFormat="false" ht="15" hidden="false" customHeight="false" outlineLevel="0" collapsed="false">
      <c r="A95" s="2" t="n">
        <v>45474</v>
      </c>
      <c r="B95" s="3" t="s">
        <v>6</v>
      </c>
      <c r="C95" s="0" t="s">
        <v>10</v>
      </c>
      <c r="D95" s="4" t="n">
        <v>1415</v>
      </c>
      <c r="E95" s="4" t="n">
        <f aca="false">INDEX(Assumptions!$E$4:$E$8,MATCH($C95,Assumptions!$D$4:$D$8,0))*(1+Assumptions!$B$10)^((YEAR($A95)-2024))</f>
        <v>249</v>
      </c>
      <c r="F95" s="4" t="n">
        <f aca="false">D95*E95</f>
        <v>352335</v>
      </c>
    </row>
    <row r="96" customFormat="false" ht="15" hidden="false" customHeight="false" outlineLevel="0" collapsed="false">
      <c r="A96" s="2" t="n">
        <v>45474</v>
      </c>
      <c r="B96" s="3" t="s">
        <v>6</v>
      </c>
      <c r="C96" s="0" t="s">
        <v>11</v>
      </c>
      <c r="D96" s="4" t="n">
        <v>989</v>
      </c>
      <c r="E96" s="4" t="n">
        <f aca="false">INDEX(Assumptions!$E$4:$E$8,MATCH($C96,Assumptions!$D$4:$D$8,0))*(1+Assumptions!$B$10)^((YEAR($A96)-2024))</f>
        <v>299</v>
      </c>
      <c r="F96" s="4" t="n">
        <f aca="false">D96*E96</f>
        <v>295711</v>
      </c>
    </row>
    <row r="97" customFormat="false" ht="15" hidden="false" customHeight="false" outlineLevel="0" collapsed="false">
      <c r="A97" s="2" t="n">
        <v>45474</v>
      </c>
      <c r="B97" s="3" t="s">
        <v>12</v>
      </c>
      <c r="C97" s="0" t="s">
        <v>7</v>
      </c>
      <c r="D97" s="4" t="n">
        <v>1736</v>
      </c>
      <c r="E97" s="4" t="n">
        <f aca="false">INDEX(Assumptions!$E$4:$E$8,MATCH($C97,Assumptions!$D$4:$D$8,0))*(1+Assumptions!$B$10)^((YEAR($A97)-2024))</f>
        <v>129</v>
      </c>
      <c r="F97" s="4" t="n">
        <f aca="false">D97*E97</f>
        <v>223944</v>
      </c>
    </row>
    <row r="98" customFormat="false" ht="15" hidden="false" customHeight="false" outlineLevel="0" collapsed="false">
      <c r="A98" s="2" t="n">
        <v>45474</v>
      </c>
      <c r="B98" s="3" t="s">
        <v>12</v>
      </c>
      <c r="C98" s="0" t="s">
        <v>8</v>
      </c>
      <c r="D98" s="4" t="n">
        <v>1861</v>
      </c>
      <c r="E98" s="4" t="n">
        <f aca="false">INDEX(Assumptions!$E$4:$E$8,MATCH($C98,Assumptions!$D$4:$D$8,0))*(1+Assumptions!$B$10)^((YEAR($A98)-2024))</f>
        <v>169</v>
      </c>
      <c r="F98" s="4" t="n">
        <f aca="false">D98*E98</f>
        <v>314509</v>
      </c>
    </row>
    <row r="99" customFormat="false" ht="15" hidden="false" customHeight="false" outlineLevel="0" collapsed="false">
      <c r="A99" s="2" t="n">
        <v>45474</v>
      </c>
      <c r="B99" s="3" t="s">
        <v>12</v>
      </c>
      <c r="C99" s="0" t="s">
        <v>9</v>
      </c>
      <c r="D99" s="4" t="n">
        <v>1543</v>
      </c>
      <c r="E99" s="4" t="n">
        <f aca="false">INDEX(Assumptions!$E$4:$E$8,MATCH($C99,Assumptions!$D$4:$D$8,0))*(1+Assumptions!$B$10)^((YEAR($A99)-2024))</f>
        <v>199</v>
      </c>
      <c r="F99" s="4" t="n">
        <f aca="false">D99*E99</f>
        <v>307057</v>
      </c>
    </row>
    <row r="100" customFormat="false" ht="15" hidden="false" customHeight="false" outlineLevel="0" collapsed="false">
      <c r="A100" s="2" t="n">
        <v>45474</v>
      </c>
      <c r="B100" s="3" t="s">
        <v>12</v>
      </c>
      <c r="C100" s="0" t="s">
        <v>10</v>
      </c>
      <c r="D100" s="4" t="n">
        <v>1438</v>
      </c>
      <c r="E100" s="4" t="n">
        <f aca="false">INDEX(Assumptions!$E$4:$E$8,MATCH($C100,Assumptions!$D$4:$D$8,0))*(1+Assumptions!$B$10)^((YEAR($A100)-2024))</f>
        <v>249</v>
      </c>
      <c r="F100" s="4" t="n">
        <f aca="false">D100*E100</f>
        <v>358062</v>
      </c>
    </row>
    <row r="101" customFormat="false" ht="15" hidden="false" customHeight="false" outlineLevel="0" collapsed="false">
      <c r="A101" s="2" t="n">
        <v>45474</v>
      </c>
      <c r="B101" s="3" t="s">
        <v>12</v>
      </c>
      <c r="C101" s="0" t="s">
        <v>11</v>
      </c>
      <c r="D101" s="4" t="n">
        <v>1097</v>
      </c>
      <c r="E101" s="4" t="n">
        <f aca="false">INDEX(Assumptions!$E$4:$E$8,MATCH($C101,Assumptions!$D$4:$D$8,0))*(1+Assumptions!$B$10)^((YEAR($A101)-2024))</f>
        <v>299</v>
      </c>
      <c r="F101" s="4" t="n">
        <f aca="false">D101*E101</f>
        <v>328003</v>
      </c>
    </row>
    <row r="102" customFormat="false" ht="15" hidden="false" customHeight="false" outlineLevel="0" collapsed="false">
      <c r="A102" s="2" t="n">
        <v>45474</v>
      </c>
      <c r="B102" s="3" t="s">
        <v>13</v>
      </c>
      <c r="C102" s="0" t="s">
        <v>7</v>
      </c>
      <c r="D102" s="4" t="n">
        <v>1382</v>
      </c>
      <c r="E102" s="4" t="n">
        <f aca="false">INDEX(Assumptions!$E$4:$E$8,MATCH($C102,Assumptions!$D$4:$D$8,0))*(1+Assumptions!$B$10)^((YEAR($A102)-2024))</f>
        <v>129</v>
      </c>
      <c r="F102" s="4" t="n">
        <f aca="false">D102*E102</f>
        <v>178278</v>
      </c>
    </row>
    <row r="103" customFormat="false" ht="15" hidden="false" customHeight="false" outlineLevel="0" collapsed="false">
      <c r="A103" s="2" t="n">
        <v>45474</v>
      </c>
      <c r="B103" s="3" t="s">
        <v>13</v>
      </c>
      <c r="C103" s="0" t="s">
        <v>8</v>
      </c>
      <c r="D103" s="4" t="n">
        <v>1554</v>
      </c>
      <c r="E103" s="4" t="n">
        <f aca="false">INDEX(Assumptions!$E$4:$E$8,MATCH($C103,Assumptions!$D$4:$D$8,0))*(1+Assumptions!$B$10)^((YEAR($A103)-2024))</f>
        <v>169</v>
      </c>
      <c r="F103" s="4" t="n">
        <f aca="false">D103*E103</f>
        <v>262626</v>
      </c>
    </row>
    <row r="104" customFormat="false" ht="15" hidden="false" customHeight="false" outlineLevel="0" collapsed="false">
      <c r="A104" s="2" t="n">
        <v>45474</v>
      </c>
      <c r="B104" s="3" t="s">
        <v>13</v>
      </c>
      <c r="C104" s="0" t="s">
        <v>9</v>
      </c>
      <c r="D104" s="4" t="n">
        <v>1452</v>
      </c>
      <c r="E104" s="4" t="n">
        <f aca="false">INDEX(Assumptions!$E$4:$E$8,MATCH($C104,Assumptions!$D$4:$D$8,0))*(1+Assumptions!$B$10)^((YEAR($A104)-2024))</f>
        <v>199</v>
      </c>
      <c r="F104" s="4" t="n">
        <f aca="false">D104*E104</f>
        <v>288948</v>
      </c>
    </row>
    <row r="105" customFormat="false" ht="15" hidden="false" customHeight="false" outlineLevel="0" collapsed="false">
      <c r="A105" s="2" t="n">
        <v>45474</v>
      </c>
      <c r="B105" s="3" t="s">
        <v>13</v>
      </c>
      <c r="C105" s="0" t="s">
        <v>10</v>
      </c>
      <c r="D105" s="4" t="n">
        <v>1146</v>
      </c>
      <c r="E105" s="4" t="n">
        <f aca="false">INDEX(Assumptions!$E$4:$E$8,MATCH($C105,Assumptions!$D$4:$D$8,0))*(1+Assumptions!$B$10)^((YEAR($A105)-2024))</f>
        <v>249</v>
      </c>
      <c r="F105" s="4" t="n">
        <f aca="false">D105*E105</f>
        <v>285354</v>
      </c>
    </row>
    <row r="106" customFormat="false" ht="15" hidden="false" customHeight="false" outlineLevel="0" collapsed="false">
      <c r="A106" s="2" t="n">
        <v>45474</v>
      </c>
      <c r="B106" s="3" t="s">
        <v>13</v>
      </c>
      <c r="C106" s="0" t="s">
        <v>11</v>
      </c>
      <c r="D106" s="4" t="n">
        <v>828</v>
      </c>
      <c r="E106" s="4" t="n">
        <f aca="false">INDEX(Assumptions!$E$4:$E$8,MATCH($C106,Assumptions!$D$4:$D$8,0))*(1+Assumptions!$B$10)^((YEAR($A106)-2024))</f>
        <v>299</v>
      </c>
      <c r="F106" s="4" t="n">
        <f aca="false">D106*E106</f>
        <v>247572</v>
      </c>
    </row>
    <row r="107" customFormat="false" ht="15" hidden="false" customHeight="false" outlineLevel="0" collapsed="false">
      <c r="A107" s="2" t="n">
        <v>45505</v>
      </c>
      <c r="B107" s="3" t="s">
        <v>6</v>
      </c>
      <c r="C107" s="0" t="s">
        <v>7</v>
      </c>
      <c r="D107" s="4" t="n">
        <v>1887</v>
      </c>
      <c r="E107" s="4" t="n">
        <f aca="false">INDEX(Assumptions!$E$4:$E$8,MATCH($C107,Assumptions!$D$4:$D$8,0))*(1+Assumptions!$B$10)^((YEAR($A107)-2024))</f>
        <v>129</v>
      </c>
      <c r="F107" s="4" t="n">
        <f aca="false">D107*E107</f>
        <v>243423</v>
      </c>
    </row>
    <row r="108" customFormat="false" ht="15" hidden="false" customHeight="false" outlineLevel="0" collapsed="false">
      <c r="A108" s="2" t="n">
        <v>45505</v>
      </c>
      <c r="B108" s="3" t="s">
        <v>6</v>
      </c>
      <c r="C108" s="0" t="s">
        <v>8</v>
      </c>
      <c r="D108" s="4" t="n">
        <v>1440</v>
      </c>
      <c r="E108" s="4" t="n">
        <f aca="false">INDEX(Assumptions!$E$4:$E$8,MATCH($C108,Assumptions!$D$4:$D$8,0))*(1+Assumptions!$B$10)^((YEAR($A108)-2024))</f>
        <v>169</v>
      </c>
      <c r="F108" s="4" t="n">
        <f aca="false">D108*E108</f>
        <v>243360</v>
      </c>
    </row>
    <row r="109" customFormat="false" ht="15" hidden="false" customHeight="false" outlineLevel="0" collapsed="false">
      <c r="A109" s="2" t="n">
        <v>45505</v>
      </c>
      <c r="B109" s="3" t="s">
        <v>6</v>
      </c>
      <c r="C109" s="0" t="s">
        <v>9</v>
      </c>
      <c r="D109" s="4" t="n">
        <v>1509</v>
      </c>
      <c r="E109" s="4" t="n">
        <f aca="false">INDEX(Assumptions!$E$4:$E$8,MATCH($C109,Assumptions!$D$4:$D$8,0))*(1+Assumptions!$B$10)^((YEAR($A109)-2024))</f>
        <v>199</v>
      </c>
      <c r="F109" s="4" t="n">
        <f aca="false">D109*E109</f>
        <v>300291</v>
      </c>
    </row>
    <row r="110" customFormat="false" ht="15" hidden="false" customHeight="false" outlineLevel="0" collapsed="false">
      <c r="A110" s="2" t="n">
        <v>45505</v>
      </c>
      <c r="B110" s="3" t="s">
        <v>6</v>
      </c>
      <c r="C110" s="0" t="s">
        <v>10</v>
      </c>
      <c r="D110" s="4" t="n">
        <v>1250</v>
      </c>
      <c r="E110" s="4" t="n">
        <f aca="false">INDEX(Assumptions!$E$4:$E$8,MATCH($C110,Assumptions!$D$4:$D$8,0))*(1+Assumptions!$B$10)^((YEAR($A110)-2024))</f>
        <v>249</v>
      </c>
      <c r="F110" s="4" t="n">
        <f aca="false">D110*E110</f>
        <v>311250</v>
      </c>
    </row>
    <row r="111" customFormat="false" ht="15" hidden="false" customHeight="false" outlineLevel="0" collapsed="false">
      <c r="A111" s="2" t="n">
        <v>45505</v>
      </c>
      <c r="B111" s="3" t="s">
        <v>6</v>
      </c>
      <c r="C111" s="0" t="s">
        <v>11</v>
      </c>
      <c r="D111" s="4" t="n">
        <v>1131</v>
      </c>
      <c r="E111" s="4" t="n">
        <f aca="false">INDEX(Assumptions!$E$4:$E$8,MATCH($C111,Assumptions!$D$4:$D$8,0))*(1+Assumptions!$B$10)^((YEAR($A111)-2024))</f>
        <v>299</v>
      </c>
      <c r="F111" s="4" t="n">
        <f aca="false">D111*E111</f>
        <v>338169</v>
      </c>
    </row>
    <row r="112" customFormat="false" ht="15" hidden="false" customHeight="false" outlineLevel="0" collapsed="false">
      <c r="A112" s="2" t="n">
        <v>45505</v>
      </c>
      <c r="B112" s="3" t="s">
        <v>12</v>
      </c>
      <c r="C112" s="0" t="s">
        <v>7</v>
      </c>
      <c r="D112" s="4" t="n">
        <v>1752</v>
      </c>
      <c r="E112" s="4" t="n">
        <f aca="false">INDEX(Assumptions!$E$4:$E$8,MATCH($C112,Assumptions!$D$4:$D$8,0))*(1+Assumptions!$B$10)^((YEAR($A112)-2024))</f>
        <v>129</v>
      </c>
      <c r="F112" s="4" t="n">
        <f aca="false">D112*E112</f>
        <v>226008</v>
      </c>
    </row>
    <row r="113" customFormat="false" ht="15" hidden="false" customHeight="false" outlineLevel="0" collapsed="false">
      <c r="A113" s="2" t="n">
        <v>45505</v>
      </c>
      <c r="B113" s="3" t="s">
        <v>12</v>
      </c>
      <c r="C113" s="0" t="s">
        <v>8</v>
      </c>
      <c r="D113" s="4" t="n">
        <v>1316</v>
      </c>
      <c r="E113" s="4" t="n">
        <f aca="false">INDEX(Assumptions!$E$4:$E$8,MATCH($C113,Assumptions!$D$4:$D$8,0))*(1+Assumptions!$B$10)^((YEAR($A113)-2024))</f>
        <v>169</v>
      </c>
      <c r="F113" s="4" t="n">
        <f aca="false">D113*E113</f>
        <v>222404</v>
      </c>
    </row>
    <row r="114" customFormat="false" ht="15" hidden="false" customHeight="false" outlineLevel="0" collapsed="false">
      <c r="A114" s="2" t="n">
        <v>45505</v>
      </c>
      <c r="B114" s="3" t="s">
        <v>12</v>
      </c>
      <c r="C114" s="0" t="s">
        <v>9</v>
      </c>
      <c r="D114" s="4" t="n">
        <v>1338</v>
      </c>
      <c r="E114" s="4" t="n">
        <f aca="false">INDEX(Assumptions!$E$4:$E$8,MATCH($C114,Assumptions!$D$4:$D$8,0))*(1+Assumptions!$B$10)^((YEAR($A114)-2024))</f>
        <v>199</v>
      </c>
      <c r="F114" s="4" t="n">
        <f aca="false">D114*E114</f>
        <v>266262</v>
      </c>
    </row>
    <row r="115" customFormat="false" ht="15" hidden="false" customHeight="false" outlineLevel="0" collapsed="false">
      <c r="A115" s="2" t="n">
        <v>45505</v>
      </c>
      <c r="B115" s="3" t="s">
        <v>12</v>
      </c>
      <c r="C115" s="0" t="s">
        <v>10</v>
      </c>
      <c r="D115" s="4" t="n">
        <v>996</v>
      </c>
      <c r="E115" s="4" t="n">
        <f aca="false">INDEX(Assumptions!$E$4:$E$8,MATCH($C115,Assumptions!$D$4:$D$8,0))*(1+Assumptions!$B$10)^((YEAR($A115)-2024))</f>
        <v>249</v>
      </c>
      <c r="F115" s="4" t="n">
        <f aca="false">D115*E115</f>
        <v>248004</v>
      </c>
    </row>
    <row r="116" customFormat="false" ht="15" hidden="false" customHeight="false" outlineLevel="0" collapsed="false">
      <c r="A116" s="2" t="n">
        <v>45505</v>
      </c>
      <c r="B116" s="3" t="s">
        <v>12</v>
      </c>
      <c r="C116" s="0" t="s">
        <v>11</v>
      </c>
      <c r="D116" s="4" t="n">
        <v>973</v>
      </c>
      <c r="E116" s="4" t="n">
        <f aca="false">INDEX(Assumptions!$E$4:$E$8,MATCH($C116,Assumptions!$D$4:$D$8,0))*(1+Assumptions!$B$10)^((YEAR($A116)-2024))</f>
        <v>299</v>
      </c>
      <c r="F116" s="4" t="n">
        <f aca="false">D116*E116</f>
        <v>290927</v>
      </c>
    </row>
    <row r="117" customFormat="false" ht="15" hidden="false" customHeight="false" outlineLevel="0" collapsed="false">
      <c r="A117" s="2" t="n">
        <v>45505</v>
      </c>
      <c r="B117" s="3" t="s">
        <v>13</v>
      </c>
      <c r="C117" s="0" t="s">
        <v>7</v>
      </c>
      <c r="D117" s="4" t="n">
        <v>1575</v>
      </c>
      <c r="E117" s="4" t="n">
        <f aca="false">INDEX(Assumptions!$E$4:$E$8,MATCH($C117,Assumptions!$D$4:$D$8,0))*(1+Assumptions!$B$10)^((YEAR($A117)-2024))</f>
        <v>129</v>
      </c>
      <c r="F117" s="4" t="n">
        <f aca="false">D117*E117</f>
        <v>203175</v>
      </c>
    </row>
    <row r="118" customFormat="false" ht="15" hidden="false" customHeight="false" outlineLevel="0" collapsed="false">
      <c r="A118" s="2" t="n">
        <v>45505</v>
      </c>
      <c r="B118" s="3" t="s">
        <v>13</v>
      </c>
      <c r="C118" s="0" t="s">
        <v>8</v>
      </c>
      <c r="D118" s="4" t="n">
        <v>1198</v>
      </c>
      <c r="E118" s="4" t="n">
        <f aca="false">INDEX(Assumptions!$E$4:$E$8,MATCH($C118,Assumptions!$D$4:$D$8,0))*(1+Assumptions!$B$10)^((YEAR($A118)-2024))</f>
        <v>169</v>
      </c>
      <c r="F118" s="4" t="n">
        <f aca="false">D118*E118</f>
        <v>202462</v>
      </c>
    </row>
    <row r="119" customFormat="false" ht="15" hidden="false" customHeight="false" outlineLevel="0" collapsed="false">
      <c r="A119" s="2" t="n">
        <v>45505</v>
      </c>
      <c r="B119" s="3" t="s">
        <v>13</v>
      </c>
      <c r="C119" s="0" t="s">
        <v>9</v>
      </c>
      <c r="D119" s="4" t="n">
        <v>1255</v>
      </c>
      <c r="E119" s="4" t="n">
        <f aca="false">INDEX(Assumptions!$E$4:$E$8,MATCH($C119,Assumptions!$D$4:$D$8,0))*(1+Assumptions!$B$10)^((YEAR($A119)-2024))</f>
        <v>199</v>
      </c>
      <c r="F119" s="4" t="n">
        <f aca="false">D119*E119</f>
        <v>249745</v>
      </c>
    </row>
    <row r="120" customFormat="false" ht="15" hidden="false" customHeight="false" outlineLevel="0" collapsed="false">
      <c r="A120" s="2" t="n">
        <v>45505</v>
      </c>
      <c r="B120" s="3" t="s">
        <v>13</v>
      </c>
      <c r="C120" s="0" t="s">
        <v>10</v>
      </c>
      <c r="D120" s="4" t="n">
        <v>1024</v>
      </c>
      <c r="E120" s="4" t="n">
        <f aca="false">INDEX(Assumptions!$E$4:$E$8,MATCH($C120,Assumptions!$D$4:$D$8,0))*(1+Assumptions!$B$10)^((YEAR($A120)-2024))</f>
        <v>249</v>
      </c>
      <c r="F120" s="4" t="n">
        <f aca="false">D120*E120</f>
        <v>254976</v>
      </c>
    </row>
    <row r="121" customFormat="false" ht="15" hidden="false" customHeight="false" outlineLevel="0" collapsed="false">
      <c r="A121" s="2" t="n">
        <v>45505</v>
      </c>
      <c r="B121" s="3" t="s">
        <v>13</v>
      </c>
      <c r="C121" s="0" t="s">
        <v>11</v>
      </c>
      <c r="D121" s="4" t="n">
        <v>698</v>
      </c>
      <c r="E121" s="4" t="n">
        <f aca="false">INDEX(Assumptions!$E$4:$E$8,MATCH($C121,Assumptions!$D$4:$D$8,0))*(1+Assumptions!$B$10)^((YEAR($A121)-2024))</f>
        <v>299</v>
      </c>
      <c r="F121" s="4" t="n">
        <f aca="false">D121*E121</f>
        <v>208702</v>
      </c>
    </row>
    <row r="122" customFormat="false" ht="15" hidden="false" customHeight="false" outlineLevel="0" collapsed="false">
      <c r="A122" s="2" t="n">
        <v>45536</v>
      </c>
      <c r="B122" s="3" t="s">
        <v>6</v>
      </c>
      <c r="C122" s="0" t="s">
        <v>7</v>
      </c>
      <c r="D122" s="4" t="n">
        <v>1749</v>
      </c>
      <c r="E122" s="4" t="n">
        <f aca="false">INDEX(Assumptions!$E$4:$E$8,MATCH($C122,Assumptions!$D$4:$D$8,0))*(1+Assumptions!$B$10)^((YEAR($A122)-2024))</f>
        <v>129</v>
      </c>
      <c r="F122" s="4" t="n">
        <f aca="false">D122*E122</f>
        <v>225621</v>
      </c>
    </row>
    <row r="123" customFormat="false" ht="15" hidden="false" customHeight="false" outlineLevel="0" collapsed="false">
      <c r="A123" s="2" t="n">
        <v>45536</v>
      </c>
      <c r="B123" s="3" t="s">
        <v>6</v>
      </c>
      <c r="C123" s="0" t="s">
        <v>8</v>
      </c>
      <c r="D123" s="4" t="n">
        <v>1476</v>
      </c>
      <c r="E123" s="4" t="n">
        <f aca="false">INDEX(Assumptions!$E$4:$E$8,MATCH($C123,Assumptions!$D$4:$D$8,0))*(1+Assumptions!$B$10)^((YEAR($A123)-2024))</f>
        <v>169</v>
      </c>
      <c r="F123" s="4" t="n">
        <f aca="false">D123*E123</f>
        <v>249444</v>
      </c>
    </row>
    <row r="124" customFormat="false" ht="15" hidden="false" customHeight="false" outlineLevel="0" collapsed="false">
      <c r="A124" s="2" t="n">
        <v>45536</v>
      </c>
      <c r="B124" s="3" t="s">
        <v>6</v>
      </c>
      <c r="C124" s="0" t="s">
        <v>9</v>
      </c>
      <c r="D124" s="4" t="n">
        <v>1493</v>
      </c>
      <c r="E124" s="4" t="n">
        <f aca="false">INDEX(Assumptions!$E$4:$E$8,MATCH($C124,Assumptions!$D$4:$D$8,0))*(1+Assumptions!$B$10)^((YEAR($A124)-2024))</f>
        <v>199</v>
      </c>
      <c r="F124" s="4" t="n">
        <f aca="false">D124*E124</f>
        <v>297107</v>
      </c>
    </row>
    <row r="125" customFormat="false" ht="15" hidden="false" customHeight="false" outlineLevel="0" collapsed="false">
      <c r="A125" s="2" t="n">
        <v>45536</v>
      </c>
      <c r="B125" s="3" t="s">
        <v>6</v>
      </c>
      <c r="C125" s="0" t="s">
        <v>10</v>
      </c>
      <c r="D125" s="4" t="n">
        <v>1145</v>
      </c>
      <c r="E125" s="4" t="n">
        <f aca="false">INDEX(Assumptions!$E$4:$E$8,MATCH($C125,Assumptions!$D$4:$D$8,0))*(1+Assumptions!$B$10)^((YEAR($A125)-2024))</f>
        <v>249</v>
      </c>
      <c r="F125" s="4" t="n">
        <f aca="false">D125*E125</f>
        <v>285105</v>
      </c>
    </row>
    <row r="126" customFormat="false" ht="15" hidden="false" customHeight="false" outlineLevel="0" collapsed="false">
      <c r="A126" s="2" t="n">
        <v>45536</v>
      </c>
      <c r="B126" s="3" t="s">
        <v>6</v>
      </c>
      <c r="C126" s="0" t="s">
        <v>11</v>
      </c>
      <c r="D126" s="4" t="n">
        <v>758</v>
      </c>
      <c r="E126" s="4" t="n">
        <f aca="false">INDEX(Assumptions!$E$4:$E$8,MATCH($C126,Assumptions!$D$4:$D$8,0))*(1+Assumptions!$B$10)^((YEAR($A126)-2024))</f>
        <v>299</v>
      </c>
      <c r="F126" s="4" t="n">
        <f aca="false">D126*E126</f>
        <v>226642</v>
      </c>
    </row>
    <row r="127" customFormat="false" ht="15" hidden="false" customHeight="false" outlineLevel="0" collapsed="false">
      <c r="A127" s="2" t="n">
        <v>45536</v>
      </c>
      <c r="B127" s="3" t="s">
        <v>12</v>
      </c>
      <c r="C127" s="0" t="s">
        <v>7</v>
      </c>
      <c r="D127" s="4" t="n">
        <v>1335</v>
      </c>
      <c r="E127" s="4" t="n">
        <f aca="false">INDEX(Assumptions!$E$4:$E$8,MATCH($C127,Assumptions!$D$4:$D$8,0))*(1+Assumptions!$B$10)^((YEAR($A127)-2024))</f>
        <v>129</v>
      </c>
      <c r="F127" s="4" t="n">
        <f aca="false">D127*E127</f>
        <v>172215</v>
      </c>
    </row>
    <row r="128" customFormat="false" ht="15" hidden="false" customHeight="false" outlineLevel="0" collapsed="false">
      <c r="A128" s="2" t="n">
        <v>45536</v>
      </c>
      <c r="B128" s="3" t="s">
        <v>12</v>
      </c>
      <c r="C128" s="0" t="s">
        <v>8</v>
      </c>
      <c r="D128" s="4" t="n">
        <v>1086</v>
      </c>
      <c r="E128" s="4" t="n">
        <f aca="false">INDEX(Assumptions!$E$4:$E$8,MATCH($C128,Assumptions!$D$4:$D$8,0))*(1+Assumptions!$B$10)^((YEAR($A128)-2024))</f>
        <v>169</v>
      </c>
      <c r="F128" s="4" t="n">
        <f aca="false">D128*E128</f>
        <v>183534</v>
      </c>
    </row>
    <row r="129" customFormat="false" ht="15" hidden="false" customHeight="false" outlineLevel="0" collapsed="false">
      <c r="A129" s="2" t="n">
        <v>45536</v>
      </c>
      <c r="B129" s="3" t="s">
        <v>12</v>
      </c>
      <c r="C129" s="0" t="s">
        <v>9</v>
      </c>
      <c r="D129" s="4" t="n">
        <v>1353</v>
      </c>
      <c r="E129" s="4" t="n">
        <f aca="false">INDEX(Assumptions!$E$4:$E$8,MATCH($C129,Assumptions!$D$4:$D$8,0))*(1+Assumptions!$B$10)^((YEAR($A129)-2024))</f>
        <v>199</v>
      </c>
      <c r="F129" s="4" t="n">
        <f aca="false">D129*E129</f>
        <v>269247</v>
      </c>
    </row>
    <row r="130" customFormat="false" ht="15" hidden="false" customHeight="false" outlineLevel="0" collapsed="false">
      <c r="A130" s="2" t="n">
        <v>45536</v>
      </c>
      <c r="B130" s="3" t="s">
        <v>12</v>
      </c>
      <c r="C130" s="0" t="s">
        <v>10</v>
      </c>
      <c r="D130" s="4" t="n">
        <v>1099</v>
      </c>
      <c r="E130" s="4" t="n">
        <f aca="false">INDEX(Assumptions!$E$4:$E$8,MATCH($C130,Assumptions!$D$4:$D$8,0))*(1+Assumptions!$B$10)^((YEAR($A130)-2024))</f>
        <v>249</v>
      </c>
      <c r="F130" s="4" t="n">
        <f aca="false">D130*E130</f>
        <v>273651</v>
      </c>
    </row>
    <row r="131" customFormat="false" ht="15" hidden="false" customHeight="false" outlineLevel="0" collapsed="false">
      <c r="A131" s="2" t="n">
        <v>45536</v>
      </c>
      <c r="B131" s="3" t="s">
        <v>12</v>
      </c>
      <c r="C131" s="0" t="s">
        <v>11</v>
      </c>
      <c r="D131" s="4" t="n">
        <v>852</v>
      </c>
      <c r="E131" s="4" t="n">
        <f aca="false">INDEX(Assumptions!$E$4:$E$8,MATCH($C131,Assumptions!$D$4:$D$8,0))*(1+Assumptions!$B$10)^((YEAR($A131)-2024))</f>
        <v>299</v>
      </c>
      <c r="F131" s="4" t="n">
        <f aca="false">D131*E131</f>
        <v>254748</v>
      </c>
    </row>
    <row r="132" customFormat="false" ht="15" hidden="false" customHeight="false" outlineLevel="0" collapsed="false">
      <c r="A132" s="2" t="n">
        <v>45536</v>
      </c>
      <c r="B132" s="3" t="s">
        <v>13</v>
      </c>
      <c r="C132" s="0" t="s">
        <v>7</v>
      </c>
      <c r="D132" s="4" t="n">
        <v>1195</v>
      </c>
      <c r="E132" s="4" t="n">
        <f aca="false">INDEX(Assumptions!$E$4:$E$8,MATCH($C132,Assumptions!$D$4:$D$8,0))*(1+Assumptions!$B$10)^((YEAR($A132)-2024))</f>
        <v>129</v>
      </c>
      <c r="F132" s="4" t="n">
        <f aca="false">D132*E132</f>
        <v>154155</v>
      </c>
    </row>
    <row r="133" customFormat="false" ht="15" hidden="false" customHeight="false" outlineLevel="0" collapsed="false">
      <c r="A133" s="2" t="n">
        <v>45536</v>
      </c>
      <c r="B133" s="3" t="s">
        <v>13</v>
      </c>
      <c r="C133" s="0" t="s">
        <v>8</v>
      </c>
      <c r="D133" s="4" t="n">
        <v>990</v>
      </c>
      <c r="E133" s="4" t="n">
        <f aca="false">INDEX(Assumptions!$E$4:$E$8,MATCH($C133,Assumptions!$D$4:$D$8,0))*(1+Assumptions!$B$10)^((YEAR($A133)-2024))</f>
        <v>169</v>
      </c>
      <c r="F133" s="4" t="n">
        <f aca="false">D133*E133</f>
        <v>167310</v>
      </c>
    </row>
    <row r="134" customFormat="false" ht="15" hidden="false" customHeight="false" outlineLevel="0" collapsed="false">
      <c r="A134" s="2" t="n">
        <v>45536</v>
      </c>
      <c r="B134" s="3" t="s">
        <v>13</v>
      </c>
      <c r="C134" s="0" t="s">
        <v>9</v>
      </c>
      <c r="D134" s="4" t="n">
        <v>1201</v>
      </c>
      <c r="E134" s="4" t="n">
        <f aca="false">INDEX(Assumptions!$E$4:$E$8,MATCH($C134,Assumptions!$D$4:$D$8,0))*(1+Assumptions!$B$10)^((YEAR($A134)-2024))</f>
        <v>199</v>
      </c>
      <c r="F134" s="4" t="n">
        <f aca="false">D134*E134</f>
        <v>238999</v>
      </c>
    </row>
    <row r="135" customFormat="false" ht="15" hidden="false" customHeight="false" outlineLevel="0" collapsed="false">
      <c r="A135" s="2" t="n">
        <v>45536</v>
      </c>
      <c r="B135" s="3" t="s">
        <v>13</v>
      </c>
      <c r="C135" s="0" t="s">
        <v>10</v>
      </c>
      <c r="D135" s="4" t="n">
        <v>1007</v>
      </c>
      <c r="E135" s="4" t="n">
        <f aca="false">INDEX(Assumptions!$E$4:$E$8,MATCH($C135,Assumptions!$D$4:$D$8,0))*(1+Assumptions!$B$10)^((YEAR($A135)-2024))</f>
        <v>249</v>
      </c>
      <c r="F135" s="4" t="n">
        <f aca="false">D135*E135</f>
        <v>250743</v>
      </c>
    </row>
    <row r="136" customFormat="false" ht="15" hidden="false" customHeight="false" outlineLevel="0" collapsed="false">
      <c r="A136" s="2" t="n">
        <v>45536</v>
      </c>
      <c r="B136" s="3" t="s">
        <v>13</v>
      </c>
      <c r="C136" s="0" t="s">
        <v>11</v>
      </c>
      <c r="D136" s="4" t="n">
        <v>611</v>
      </c>
      <c r="E136" s="4" t="n">
        <f aca="false">INDEX(Assumptions!$E$4:$E$8,MATCH($C136,Assumptions!$D$4:$D$8,0))*(1+Assumptions!$B$10)^((YEAR($A136)-2024))</f>
        <v>299</v>
      </c>
      <c r="F136" s="4" t="n">
        <f aca="false">D136*E136</f>
        <v>182689</v>
      </c>
    </row>
    <row r="137" customFormat="false" ht="15" hidden="false" customHeight="false" outlineLevel="0" collapsed="false">
      <c r="A137" s="2" t="n">
        <v>45566</v>
      </c>
      <c r="B137" s="3" t="s">
        <v>6</v>
      </c>
      <c r="C137" s="0" t="s">
        <v>7</v>
      </c>
      <c r="D137" s="4" t="n">
        <v>1545</v>
      </c>
      <c r="E137" s="4" t="n">
        <f aca="false">INDEX(Assumptions!$E$4:$E$8,MATCH($C137,Assumptions!$D$4:$D$8,0))*(1+Assumptions!$B$10)^((YEAR($A137)-2024))</f>
        <v>129</v>
      </c>
      <c r="F137" s="4" t="n">
        <f aca="false">D137*E137</f>
        <v>199305</v>
      </c>
    </row>
    <row r="138" customFormat="false" ht="15" hidden="false" customHeight="false" outlineLevel="0" collapsed="false">
      <c r="A138" s="2" t="n">
        <v>45566</v>
      </c>
      <c r="B138" s="3" t="s">
        <v>6</v>
      </c>
      <c r="C138" s="0" t="s">
        <v>8</v>
      </c>
      <c r="D138" s="4" t="n">
        <v>1216</v>
      </c>
      <c r="E138" s="4" t="n">
        <f aca="false">INDEX(Assumptions!$E$4:$E$8,MATCH($C138,Assumptions!$D$4:$D$8,0))*(1+Assumptions!$B$10)^((YEAR($A138)-2024))</f>
        <v>169</v>
      </c>
      <c r="F138" s="4" t="n">
        <f aca="false">D138*E138</f>
        <v>205504</v>
      </c>
    </row>
    <row r="139" customFormat="false" ht="15" hidden="false" customHeight="false" outlineLevel="0" collapsed="false">
      <c r="A139" s="2" t="n">
        <v>45566</v>
      </c>
      <c r="B139" s="3" t="s">
        <v>6</v>
      </c>
      <c r="C139" s="0" t="s">
        <v>9</v>
      </c>
      <c r="D139" s="4" t="n">
        <v>1422</v>
      </c>
      <c r="E139" s="4" t="n">
        <f aca="false">INDEX(Assumptions!$E$4:$E$8,MATCH($C139,Assumptions!$D$4:$D$8,0))*(1+Assumptions!$B$10)^((YEAR($A139)-2024))</f>
        <v>199</v>
      </c>
      <c r="F139" s="4" t="n">
        <f aca="false">D139*E139</f>
        <v>282978</v>
      </c>
    </row>
    <row r="140" customFormat="false" ht="15" hidden="false" customHeight="false" outlineLevel="0" collapsed="false">
      <c r="A140" s="2" t="n">
        <v>45566</v>
      </c>
      <c r="B140" s="3" t="s">
        <v>6</v>
      </c>
      <c r="C140" s="0" t="s">
        <v>10</v>
      </c>
      <c r="D140" s="4" t="n">
        <v>1173</v>
      </c>
      <c r="E140" s="4" t="n">
        <f aca="false">INDEX(Assumptions!$E$4:$E$8,MATCH($C140,Assumptions!$D$4:$D$8,0))*(1+Assumptions!$B$10)^((YEAR($A140)-2024))</f>
        <v>249</v>
      </c>
      <c r="F140" s="4" t="n">
        <f aca="false">D140*E140</f>
        <v>292077</v>
      </c>
    </row>
    <row r="141" customFormat="false" ht="15" hidden="false" customHeight="false" outlineLevel="0" collapsed="false">
      <c r="A141" s="2" t="n">
        <v>45566</v>
      </c>
      <c r="B141" s="3" t="s">
        <v>6</v>
      </c>
      <c r="C141" s="0" t="s">
        <v>11</v>
      </c>
      <c r="D141" s="4" t="n">
        <v>758</v>
      </c>
      <c r="E141" s="4" t="n">
        <f aca="false">INDEX(Assumptions!$E$4:$E$8,MATCH($C141,Assumptions!$D$4:$D$8,0))*(1+Assumptions!$B$10)^((YEAR($A141)-2024))</f>
        <v>299</v>
      </c>
      <c r="F141" s="4" t="n">
        <f aca="false">D141*E141</f>
        <v>226642</v>
      </c>
    </row>
    <row r="142" customFormat="false" ht="15" hidden="false" customHeight="false" outlineLevel="0" collapsed="false">
      <c r="A142" s="2" t="n">
        <v>45566</v>
      </c>
      <c r="B142" s="3" t="s">
        <v>12</v>
      </c>
      <c r="C142" s="0" t="s">
        <v>7</v>
      </c>
      <c r="D142" s="4" t="n">
        <v>1339</v>
      </c>
      <c r="E142" s="4" t="n">
        <f aca="false">INDEX(Assumptions!$E$4:$E$8,MATCH($C142,Assumptions!$D$4:$D$8,0))*(1+Assumptions!$B$10)^((YEAR($A142)-2024))</f>
        <v>129</v>
      </c>
      <c r="F142" s="4" t="n">
        <f aca="false">D142*E142</f>
        <v>172731</v>
      </c>
    </row>
    <row r="143" customFormat="false" ht="15" hidden="false" customHeight="false" outlineLevel="0" collapsed="false">
      <c r="A143" s="2" t="n">
        <v>45566</v>
      </c>
      <c r="B143" s="3" t="s">
        <v>12</v>
      </c>
      <c r="C143" s="0" t="s">
        <v>8</v>
      </c>
      <c r="D143" s="4" t="n">
        <v>1233</v>
      </c>
      <c r="E143" s="4" t="n">
        <f aca="false">INDEX(Assumptions!$E$4:$E$8,MATCH($C143,Assumptions!$D$4:$D$8,0))*(1+Assumptions!$B$10)^((YEAR($A143)-2024))</f>
        <v>169</v>
      </c>
      <c r="F143" s="4" t="n">
        <f aca="false">D143*E143</f>
        <v>208377</v>
      </c>
    </row>
    <row r="144" customFormat="false" ht="15" hidden="false" customHeight="false" outlineLevel="0" collapsed="false">
      <c r="A144" s="2" t="n">
        <v>45566</v>
      </c>
      <c r="B144" s="3" t="s">
        <v>12</v>
      </c>
      <c r="C144" s="0" t="s">
        <v>9</v>
      </c>
      <c r="D144" s="4" t="n">
        <v>1066</v>
      </c>
      <c r="E144" s="4" t="n">
        <f aca="false">INDEX(Assumptions!$E$4:$E$8,MATCH($C144,Assumptions!$D$4:$D$8,0))*(1+Assumptions!$B$10)^((YEAR($A144)-2024))</f>
        <v>199</v>
      </c>
      <c r="F144" s="4" t="n">
        <f aca="false">D144*E144</f>
        <v>212134</v>
      </c>
    </row>
    <row r="145" customFormat="false" ht="15" hidden="false" customHeight="false" outlineLevel="0" collapsed="false">
      <c r="A145" s="2" t="n">
        <v>45566</v>
      </c>
      <c r="B145" s="3" t="s">
        <v>12</v>
      </c>
      <c r="C145" s="0" t="s">
        <v>10</v>
      </c>
      <c r="D145" s="4" t="n">
        <v>1050</v>
      </c>
      <c r="E145" s="4" t="n">
        <f aca="false">INDEX(Assumptions!$E$4:$E$8,MATCH($C145,Assumptions!$D$4:$D$8,0))*(1+Assumptions!$B$10)^((YEAR($A145)-2024))</f>
        <v>249</v>
      </c>
      <c r="F145" s="4" t="n">
        <f aca="false">D145*E145</f>
        <v>261450</v>
      </c>
    </row>
    <row r="146" customFormat="false" ht="15" hidden="false" customHeight="false" outlineLevel="0" collapsed="false">
      <c r="A146" s="2" t="n">
        <v>45566</v>
      </c>
      <c r="B146" s="3" t="s">
        <v>12</v>
      </c>
      <c r="C146" s="0" t="s">
        <v>11</v>
      </c>
      <c r="D146" s="4" t="n">
        <v>725</v>
      </c>
      <c r="E146" s="4" t="n">
        <f aca="false">INDEX(Assumptions!$E$4:$E$8,MATCH($C146,Assumptions!$D$4:$D$8,0))*(1+Assumptions!$B$10)^((YEAR($A146)-2024))</f>
        <v>299</v>
      </c>
      <c r="F146" s="4" t="n">
        <f aca="false">D146*E146</f>
        <v>216775</v>
      </c>
    </row>
    <row r="147" customFormat="false" ht="15" hidden="false" customHeight="false" outlineLevel="0" collapsed="false">
      <c r="A147" s="2" t="n">
        <v>45566</v>
      </c>
      <c r="B147" s="3" t="s">
        <v>13</v>
      </c>
      <c r="C147" s="0" t="s">
        <v>7</v>
      </c>
      <c r="D147" s="4" t="n">
        <v>1109</v>
      </c>
      <c r="E147" s="4" t="n">
        <f aca="false">INDEX(Assumptions!$E$4:$E$8,MATCH($C147,Assumptions!$D$4:$D$8,0))*(1+Assumptions!$B$10)^((YEAR($A147)-2024))</f>
        <v>129</v>
      </c>
      <c r="F147" s="4" t="n">
        <f aca="false">D147*E147</f>
        <v>143061</v>
      </c>
    </row>
    <row r="148" customFormat="false" ht="15" hidden="false" customHeight="false" outlineLevel="0" collapsed="false">
      <c r="A148" s="2" t="n">
        <v>45566</v>
      </c>
      <c r="B148" s="3" t="s">
        <v>13</v>
      </c>
      <c r="C148" s="0" t="s">
        <v>8</v>
      </c>
      <c r="D148" s="4" t="n">
        <v>1106</v>
      </c>
      <c r="E148" s="4" t="n">
        <f aca="false">INDEX(Assumptions!$E$4:$E$8,MATCH($C148,Assumptions!$D$4:$D$8,0))*(1+Assumptions!$B$10)^((YEAR($A148)-2024))</f>
        <v>169</v>
      </c>
      <c r="F148" s="4" t="n">
        <f aca="false">D148*E148</f>
        <v>186914</v>
      </c>
    </row>
    <row r="149" customFormat="false" ht="15" hidden="false" customHeight="false" outlineLevel="0" collapsed="false">
      <c r="A149" s="2" t="n">
        <v>45566</v>
      </c>
      <c r="B149" s="3" t="s">
        <v>13</v>
      </c>
      <c r="C149" s="0" t="s">
        <v>9</v>
      </c>
      <c r="D149" s="4" t="n">
        <v>1103</v>
      </c>
      <c r="E149" s="4" t="n">
        <f aca="false">INDEX(Assumptions!$E$4:$E$8,MATCH($C149,Assumptions!$D$4:$D$8,0))*(1+Assumptions!$B$10)^((YEAR($A149)-2024))</f>
        <v>199</v>
      </c>
      <c r="F149" s="4" t="n">
        <f aca="false">D149*E149</f>
        <v>219497</v>
      </c>
    </row>
    <row r="150" customFormat="false" ht="15" hidden="false" customHeight="false" outlineLevel="0" collapsed="false">
      <c r="A150" s="2" t="n">
        <v>45566</v>
      </c>
      <c r="B150" s="3" t="s">
        <v>13</v>
      </c>
      <c r="C150" s="0" t="s">
        <v>10</v>
      </c>
      <c r="D150" s="4" t="n">
        <v>774</v>
      </c>
      <c r="E150" s="4" t="n">
        <f aca="false">INDEX(Assumptions!$E$4:$E$8,MATCH($C150,Assumptions!$D$4:$D$8,0))*(1+Assumptions!$B$10)^((YEAR($A150)-2024))</f>
        <v>249</v>
      </c>
      <c r="F150" s="4" t="n">
        <f aca="false">D150*E150</f>
        <v>192726</v>
      </c>
    </row>
    <row r="151" customFormat="false" ht="15" hidden="false" customHeight="false" outlineLevel="0" collapsed="false">
      <c r="A151" s="2" t="n">
        <v>45566</v>
      </c>
      <c r="B151" s="3" t="s">
        <v>13</v>
      </c>
      <c r="C151" s="0" t="s">
        <v>11</v>
      </c>
      <c r="D151" s="4" t="n">
        <v>630</v>
      </c>
      <c r="E151" s="4" t="n">
        <f aca="false">INDEX(Assumptions!$E$4:$E$8,MATCH($C151,Assumptions!$D$4:$D$8,0))*(1+Assumptions!$B$10)^((YEAR($A151)-2024))</f>
        <v>299</v>
      </c>
      <c r="F151" s="4" t="n">
        <f aca="false">D151*E151</f>
        <v>188370</v>
      </c>
    </row>
    <row r="152" customFormat="false" ht="15" hidden="false" customHeight="false" outlineLevel="0" collapsed="false">
      <c r="A152" s="2" t="n">
        <v>45597</v>
      </c>
      <c r="B152" s="3" t="s">
        <v>6</v>
      </c>
      <c r="C152" s="0" t="s">
        <v>7</v>
      </c>
      <c r="D152" s="4" t="n">
        <v>1862</v>
      </c>
      <c r="E152" s="4" t="n">
        <f aca="false">INDEX(Assumptions!$E$4:$E$8,MATCH($C152,Assumptions!$D$4:$D$8,0))*(1+Assumptions!$B$10)^((YEAR($A152)-2024))</f>
        <v>129</v>
      </c>
      <c r="F152" s="4" t="n">
        <f aca="false">D152*E152</f>
        <v>240198</v>
      </c>
    </row>
    <row r="153" customFormat="false" ht="15" hidden="false" customHeight="false" outlineLevel="0" collapsed="false">
      <c r="A153" s="2" t="n">
        <v>45597</v>
      </c>
      <c r="B153" s="3" t="s">
        <v>6</v>
      </c>
      <c r="C153" s="0" t="s">
        <v>8</v>
      </c>
      <c r="D153" s="4" t="n">
        <v>1525</v>
      </c>
      <c r="E153" s="4" t="n">
        <f aca="false">INDEX(Assumptions!$E$4:$E$8,MATCH($C153,Assumptions!$D$4:$D$8,0))*(1+Assumptions!$B$10)^((YEAR($A153)-2024))</f>
        <v>169</v>
      </c>
      <c r="F153" s="4" t="n">
        <f aca="false">D153*E153</f>
        <v>257725</v>
      </c>
    </row>
    <row r="154" customFormat="false" ht="15" hidden="false" customHeight="false" outlineLevel="0" collapsed="false">
      <c r="A154" s="2" t="n">
        <v>45597</v>
      </c>
      <c r="B154" s="3" t="s">
        <v>6</v>
      </c>
      <c r="C154" s="0" t="s">
        <v>9</v>
      </c>
      <c r="D154" s="4" t="n">
        <v>1352</v>
      </c>
      <c r="E154" s="4" t="n">
        <f aca="false">INDEX(Assumptions!$E$4:$E$8,MATCH($C154,Assumptions!$D$4:$D$8,0))*(1+Assumptions!$B$10)^((YEAR($A154)-2024))</f>
        <v>199</v>
      </c>
      <c r="F154" s="4" t="n">
        <f aca="false">D154*E154</f>
        <v>269048</v>
      </c>
    </row>
    <row r="155" customFormat="false" ht="15" hidden="false" customHeight="false" outlineLevel="0" collapsed="false">
      <c r="A155" s="2" t="n">
        <v>45597</v>
      </c>
      <c r="B155" s="3" t="s">
        <v>6</v>
      </c>
      <c r="C155" s="0" t="s">
        <v>10</v>
      </c>
      <c r="D155" s="4" t="n">
        <v>1141</v>
      </c>
      <c r="E155" s="4" t="n">
        <f aca="false">INDEX(Assumptions!$E$4:$E$8,MATCH($C155,Assumptions!$D$4:$D$8,0))*(1+Assumptions!$B$10)^((YEAR($A155)-2024))</f>
        <v>249</v>
      </c>
      <c r="F155" s="4" t="n">
        <f aca="false">D155*E155</f>
        <v>284109</v>
      </c>
    </row>
    <row r="156" customFormat="false" ht="15" hidden="false" customHeight="false" outlineLevel="0" collapsed="false">
      <c r="A156" s="2" t="n">
        <v>45597</v>
      </c>
      <c r="B156" s="3" t="s">
        <v>6</v>
      </c>
      <c r="C156" s="0" t="s">
        <v>11</v>
      </c>
      <c r="D156" s="4" t="n">
        <v>790</v>
      </c>
      <c r="E156" s="4" t="n">
        <f aca="false">INDEX(Assumptions!$E$4:$E$8,MATCH($C156,Assumptions!$D$4:$D$8,0))*(1+Assumptions!$B$10)^((YEAR($A156)-2024))</f>
        <v>299</v>
      </c>
      <c r="F156" s="4" t="n">
        <f aca="false">D156*E156</f>
        <v>236210</v>
      </c>
    </row>
    <row r="157" customFormat="false" ht="15" hidden="false" customHeight="false" outlineLevel="0" collapsed="false">
      <c r="A157" s="2" t="n">
        <v>45597</v>
      </c>
      <c r="B157" s="3" t="s">
        <v>12</v>
      </c>
      <c r="C157" s="0" t="s">
        <v>7</v>
      </c>
      <c r="D157" s="4" t="n">
        <v>1293</v>
      </c>
      <c r="E157" s="4" t="n">
        <f aca="false">INDEX(Assumptions!$E$4:$E$8,MATCH($C157,Assumptions!$D$4:$D$8,0))*(1+Assumptions!$B$10)^((YEAR($A157)-2024))</f>
        <v>129</v>
      </c>
      <c r="F157" s="4" t="n">
        <f aca="false">D157*E157</f>
        <v>166797</v>
      </c>
    </row>
    <row r="158" customFormat="false" ht="15" hidden="false" customHeight="false" outlineLevel="0" collapsed="false">
      <c r="A158" s="2" t="n">
        <v>45597</v>
      </c>
      <c r="B158" s="3" t="s">
        <v>12</v>
      </c>
      <c r="C158" s="0" t="s">
        <v>8</v>
      </c>
      <c r="D158" s="4" t="n">
        <v>1207</v>
      </c>
      <c r="E158" s="4" t="n">
        <f aca="false">INDEX(Assumptions!$E$4:$E$8,MATCH($C158,Assumptions!$D$4:$D$8,0))*(1+Assumptions!$B$10)^((YEAR($A158)-2024))</f>
        <v>169</v>
      </c>
      <c r="F158" s="4" t="n">
        <f aca="false">D158*E158</f>
        <v>203983</v>
      </c>
    </row>
    <row r="159" customFormat="false" ht="15" hidden="false" customHeight="false" outlineLevel="0" collapsed="false">
      <c r="A159" s="2" t="n">
        <v>45597</v>
      </c>
      <c r="B159" s="3" t="s">
        <v>12</v>
      </c>
      <c r="C159" s="0" t="s">
        <v>9</v>
      </c>
      <c r="D159" s="4" t="n">
        <v>1230</v>
      </c>
      <c r="E159" s="4" t="n">
        <f aca="false">INDEX(Assumptions!$E$4:$E$8,MATCH($C159,Assumptions!$D$4:$D$8,0))*(1+Assumptions!$B$10)^((YEAR($A159)-2024))</f>
        <v>199</v>
      </c>
      <c r="F159" s="4" t="n">
        <f aca="false">D159*E159</f>
        <v>244770</v>
      </c>
    </row>
    <row r="160" customFormat="false" ht="15" hidden="false" customHeight="false" outlineLevel="0" collapsed="false">
      <c r="A160" s="2" t="n">
        <v>45597</v>
      </c>
      <c r="B160" s="3" t="s">
        <v>12</v>
      </c>
      <c r="C160" s="0" t="s">
        <v>10</v>
      </c>
      <c r="D160" s="4" t="n">
        <v>907</v>
      </c>
      <c r="E160" s="4" t="n">
        <f aca="false">INDEX(Assumptions!$E$4:$E$8,MATCH($C160,Assumptions!$D$4:$D$8,0))*(1+Assumptions!$B$10)^((YEAR($A160)-2024))</f>
        <v>249</v>
      </c>
      <c r="F160" s="4" t="n">
        <f aca="false">D160*E160</f>
        <v>225843</v>
      </c>
    </row>
    <row r="161" customFormat="false" ht="15" hidden="false" customHeight="false" outlineLevel="0" collapsed="false">
      <c r="A161" s="2" t="n">
        <v>45597</v>
      </c>
      <c r="B161" s="3" t="s">
        <v>12</v>
      </c>
      <c r="C161" s="0" t="s">
        <v>11</v>
      </c>
      <c r="D161" s="4" t="n">
        <v>710</v>
      </c>
      <c r="E161" s="4" t="n">
        <f aca="false">INDEX(Assumptions!$E$4:$E$8,MATCH($C161,Assumptions!$D$4:$D$8,0))*(1+Assumptions!$B$10)^((YEAR($A161)-2024))</f>
        <v>299</v>
      </c>
      <c r="F161" s="4" t="n">
        <f aca="false">D161*E161</f>
        <v>212290</v>
      </c>
    </row>
    <row r="162" customFormat="false" ht="15" hidden="false" customHeight="false" outlineLevel="0" collapsed="false">
      <c r="A162" s="2" t="n">
        <v>45597</v>
      </c>
      <c r="B162" s="3" t="s">
        <v>13</v>
      </c>
      <c r="C162" s="0" t="s">
        <v>7</v>
      </c>
      <c r="D162" s="4" t="n">
        <v>1105</v>
      </c>
      <c r="E162" s="4" t="n">
        <f aca="false">INDEX(Assumptions!$E$4:$E$8,MATCH($C162,Assumptions!$D$4:$D$8,0))*(1+Assumptions!$B$10)^((YEAR($A162)-2024))</f>
        <v>129</v>
      </c>
      <c r="F162" s="4" t="n">
        <f aca="false">D162*E162</f>
        <v>142545</v>
      </c>
    </row>
    <row r="163" customFormat="false" ht="15" hidden="false" customHeight="false" outlineLevel="0" collapsed="false">
      <c r="A163" s="2" t="n">
        <v>45597</v>
      </c>
      <c r="B163" s="3" t="s">
        <v>13</v>
      </c>
      <c r="C163" s="0" t="s">
        <v>8</v>
      </c>
      <c r="D163" s="4" t="n">
        <v>1187</v>
      </c>
      <c r="E163" s="4" t="n">
        <f aca="false">INDEX(Assumptions!$E$4:$E$8,MATCH($C163,Assumptions!$D$4:$D$8,0))*(1+Assumptions!$B$10)^((YEAR($A163)-2024))</f>
        <v>169</v>
      </c>
      <c r="F163" s="4" t="n">
        <f aca="false">D163*E163</f>
        <v>200603</v>
      </c>
    </row>
    <row r="164" customFormat="false" ht="15" hidden="false" customHeight="false" outlineLevel="0" collapsed="false">
      <c r="A164" s="2" t="n">
        <v>45597</v>
      </c>
      <c r="B164" s="3" t="s">
        <v>13</v>
      </c>
      <c r="C164" s="0" t="s">
        <v>9</v>
      </c>
      <c r="D164" s="4" t="n">
        <v>991</v>
      </c>
      <c r="E164" s="4" t="n">
        <f aca="false">INDEX(Assumptions!$E$4:$E$8,MATCH($C164,Assumptions!$D$4:$D$8,0))*(1+Assumptions!$B$10)^((YEAR($A164)-2024))</f>
        <v>199</v>
      </c>
      <c r="F164" s="4" t="n">
        <f aca="false">D164*E164</f>
        <v>197209</v>
      </c>
    </row>
    <row r="165" customFormat="false" ht="15" hidden="false" customHeight="false" outlineLevel="0" collapsed="false">
      <c r="A165" s="2" t="n">
        <v>45597</v>
      </c>
      <c r="B165" s="3" t="s">
        <v>13</v>
      </c>
      <c r="C165" s="0" t="s">
        <v>10</v>
      </c>
      <c r="D165" s="4" t="n">
        <v>996</v>
      </c>
      <c r="E165" s="4" t="n">
        <f aca="false">INDEX(Assumptions!$E$4:$E$8,MATCH($C165,Assumptions!$D$4:$D$8,0))*(1+Assumptions!$B$10)^((YEAR($A165)-2024))</f>
        <v>249</v>
      </c>
      <c r="F165" s="4" t="n">
        <f aca="false">D165*E165</f>
        <v>248004</v>
      </c>
    </row>
    <row r="166" customFormat="false" ht="15" hidden="false" customHeight="false" outlineLevel="0" collapsed="false">
      <c r="A166" s="2" t="n">
        <v>45597</v>
      </c>
      <c r="B166" s="3" t="s">
        <v>13</v>
      </c>
      <c r="C166" s="0" t="s">
        <v>11</v>
      </c>
      <c r="D166" s="4" t="n">
        <v>773</v>
      </c>
      <c r="E166" s="4" t="n">
        <f aca="false">INDEX(Assumptions!$E$4:$E$8,MATCH($C166,Assumptions!$D$4:$D$8,0))*(1+Assumptions!$B$10)^((YEAR($A166)-2024))</f>
        <v>299</v>
      </c>
      <c r="F166" s="4" t="n">
        <f aca="false">D166*E166</f>
        <v>231127</v>
      </c>
    </row>
    <row r="167" customFormat="false" ht="15" hidden="false" customHeight="false" outlineLevel="0" collapsed="false">
      <c r="A167" s="2" t="n">
        <v>45627</v>
      </c>
      <c r="B167" s="3" t="s">
        <v>6</v>
      </c>
      <c r="C167" s="0" t="s">
        <v>7</v>
      </c>
      <c r="D167" s="4" t="n">
        <v>1578</v>
      </c>
      <c r="E167" s="4" t="n">
        <f aca="false">INDEX(Assumptions!$E$4:$E$8,MATCH($C167,Assumptions!$D$4:$D$8,0))*(1+Assumptions!$B$10)^((YEAR($A167)-2024))</f>
        <v>129</v>
      </c>
      <c r="F167" s="4" t="n">
        <f aca="false">D167*E167</f>
        <v>203562</v>
      </c>
    </row>
    <row r="168" customFormat="false" ht="15" hidden="false" customHeight="false" outlineLevel="0" collapsed="false">
      <c r="A168" s="2" t="n">
        <v>45627</v>
      </c>
      <c r="B168" s="3" t="s">
        <v>6</v>
      </c>
      <c r="C168" s="0" t="s">
        <v>8</v>
      </c>
      <c r="D168" s="4" t="n">
        <v>1501</v>
      </c>
      <c r="E168" s="4" t="n">
        <f aca="false">INDEX(Assumptions!$E$4:$E$8,MATCH($C168,Assumptions!$D$4:$D$8,0))*(1+Assumptions!$B$10)^((YEAR($A168)-2024))</f>
        <v>169</v>
      </c>
      <c r="F168" s="4" t="n">
        <f aca="false">D168*E168</f>
        <v>253669</v>
      </c>
    </row>
    <row r="169" customFormat="false" ht="15" hidden="false" customHeight="false" outlineLevel="0" collapsed="false">
      <c r="A169" s="2" t="n">
        <v>45627</v>
      </c>
      <c r="B169" s="3" t="s">
        <v>6</v>
      </c>
      <c r="C169" s="0" t="s">
        <v>9</v>
      </c>
      <c r="D169" s="4" t="n">
        <v>1617</v>
      </c>
      <c r="E169" s="4" t="n">
        <f aca="false">INDEX(Assumptions!$E$4:$E$8,MATCH($C169,Assumptions!$D$4:$D$8,0))*(1+Assumptions!$B$10)^((YEAR($A169)-2024))</f>
        <v>199</v>
      </c>
      <c r="F169" s="4" t="n">
        <f aca="false">D169*E169</f>
        <v>321783</v>
      </c>
    </row>
    <row r="170" customFormat="false" ht="15" hidden="false" customHeight="false" outlineLevel="0" collapsed="false">
      <c r="A170" s="2" t="n">
        <v>45627</v>
      </c>
      <c r="B170" s="3" t="s">
        <v>6</v>
      </c>
      <c r="C170" s="0" t="s">
        <v>10</v>
      </c>
      <c r="D170" s="4" t="n">
        <v>1159</v>
      </c>
      <c r="E170" s="4" t="n">
        <f aca="false">INDEX(Assumptions!$E$4:$E$8,MATCH($C170,Assumptions!$D$4:$D$8,0))*(1+Assumptions!$B$10)^((YEAR($A170)-2024))</f>
        <v>249</v>
      </c>
      <c r="F170" s="4" t="n">
        <f aca="false">D170*E170</f>
        <v>288591</v>
      </c>
    </row>
    <row r="171" customFormat="false" ht="15" hidden="false" customHeight="false" outlineLevel="0" collapsed="false">
      <c r="A171" s="2" t="n">
        <v>45627</v>
      </c>
      <c r="B171" s="3" t="s">
        <v>6</v>
      </c>
      <c r="C171" s="0" t="s">
        <v>11</v>
      </c>
      <c r="D171" s="4" t="n">
        <v>886</v>
      </c>
      <c r="E171" s="4" t="n">
        <f aca="false">INDEX(Assumptions!$E$4:$E$8,MATCH($C171,Assumptions!$D$4:$D$8,0))*(1+Assumptions!$B$10)^((YEAR($A171)-2024))</f>
        <v>299</v>
      </c>
      <c r="F171" s="4" t="n">
        <f aca="false">D171*E171</f>
        <v>264914</v>
      </c>
    </row>
    <row r="172" customFormat="false" ht="15" hidden="false" customHeight="false" outlineLevel="0" collapsed="false">
      <c r="A172" s="2" t="n">
        <v>45627</v>
      </c>
      <c r="B172" s="3" t="s">
        <v>12</v>
      </c>
      <c r="C172" s="0" t="s">
        <v>7</v>
      </c>
      <c r="D172" s="4" t="n">
        <v>1780</v>
      </c>
      <c r="E172" s="4" t="n">
        <f aca="false">INDEX(Assumptions!$E$4:$E$8,MATCH($C172,Assumptions!$D$4:$D$8,0))*(1+Assumptions!$B$10)^((YEAR($A172)-2024))</f>
        <v>129</v>
      </c>
      <c r="F172" s="4" t="n">
        <f aca="false">D172*E172</f>
        <v>229620</v>
      </c>
    </row>
    <row r="173" customFormat="false" ht="15" hidden="false" customHeight="false" outlineLevel="0" collapsed="false">
      <c r="A173" s="2" t="n">
        <v>45627</v>
      </c>
      <c r="B173" s="3" t="s">
        <v>12</v>
      </c>
      <c r="C173" s="0" t="s">
        <v>8</v>
      </c>
      <c r="D173" s="4" t="n">
        <v>1447</v>
      </c>
      <c r="E173" s="4" t="n">
        <f aca="false">INDEX(Assumptions!$E$4:$E$8,MATCH($C173,Assumptions!$D$4:$D$8,0))*(1+Assumptions!$B$10)^((YEAR($A173)-2024))</f>
        <v>169</v>
      </c>
      <c r="F173" s="4" t="n">
        <f aca="false">D173*E173</f>
        <v>244543</v>
      </c>
    </row>
    <row r="174" customFormat="false" ht="15" hidden="false" customHeight="false" outlineLevel="0" collapsed="false">
      <c r="A174" s="2" t="n">
        <v>45627</v>
      </c>
      <c r="B174" s="3" t="s">
        <v>12</v>
      </c>
      <c r="C174" s="0" t="s">
        <v>9</v>
      </c>
      <c r="D174" s="4" t="n">
        <v>1327</v>
      </c>
      <c r="E174" s="4" t="n">
        <f aca="false">INDEX(Assumptions!$E$4:$E$8,MATCH($C174,Assumptions!$D$4:$D$8,0))*(1+Assumptions!$B$10)^((YEAR($A174)-2024))</f>
        <v>199</v>
      </c>
      <c r="F174" s="4" t="n">
        <f aca="false">D174*E174</f>
        <v>264073</v>
      </c>
    </row>
    <row r="175" customFormat="false" ht="15" hidden="false" customHeight="false" outlineLevel="0" collapsed="false">
      <c r="A175" s="2" t="n">
        <v>45627</v>
      </c>
      <c r="B175" s="3" t="s">
        <v>12</v>
      </c>
      <c r="C175" s="0" t="s">
        <v>10</v>
      </c>
      <c r="D175" s="4" t="n">
        <v>1196</v>
      </c>
      <c r="E175" s="4" t="n">
        <f aca="false">INDEX(Assumptions!$E$4:$E$8,MATCH($C175,Assumptions!$D$4:$D$8,0))*(1+Assumptions!$B$10)^((YEAR($A175)-2024))</f>
        <v>249</v>
      </c>
      <c r="F175" s="4" t="n">
        <f aca="false">D175*E175</f>
        <v>297804</v>
      </c>
    </row>
    <row r="176" customFormat="false" ht="15" hidden="false" customHeight="false" outlineLevel="0" collapsed="false">
      <c r="A176" s="2" t="n">
        <v>45627</v>
      </c>
      <c r="B176" s="3" t="s">
        <v>12</v>
      </c>
      <c r="C176" s="0" t="s">
        <v>11</v>
      </c>
      <c r="D176" s="4" t="n">
        <v>946</v>
      </c>
      <c r="E176" s="4" t="n">
        <f aca="false">INDEX(Assumptions!$E$4:$E$8,MATCH($C176,Assumptions!$D$4:$D$8,0))*(1+Assumptions!$B$10)^((YEAR($A176)-2024))</f>
        <v>299</v>
      </c>
      <c r="F176" s="4" t="n">
        <f aca="false">D176*E176</f>
        <v>282854</v>
      </c>
    </row>
    <row r="177" customFormat="false" ht="15" hidden="false" customHeight="false" outlineLevel="0" collapsed="false">
      <c r="A177" s="2" t="n">
        <v>45627</v>
      </c>
      <c r="B177" s="3" t="s">
        <v>13</v>
      </c>
      <c r="C177" s="0" t="s">
        <v>7</v>
      </c>
      <c r="D177" s="4" t="n">
        <v>1285</v>
      </c>
      <c r="E177" s="4" t="n">
        <f aca="false">INDEX(Assumptions!$E$4:$E$8,MATCH($C177,Assumptions!$D$4:$D$8,0))*(1+Assumptions!$B$10)^((YEAR($A177)-2024))</f>
        <v>129</v>
      </c>
      <c r="F177" s="4" t="n">
        <f aca="false">D177*E177</f>
        <v>165765</v>
      </c>
    </row>
    <row r="178" customFormat="false" ht="15" hidden="false" customHeight="false" outlineLevel="0" collapsed="false">
      <c r="A178" s="2" t="n">
        <v>45627</v>
      </c>
      <c r="B178" s="3" t="s">
        <v>13</v>
      </c>
      <c r="C178" s="0" t="s">
        <v>8</v>
      </c>
      <c r="D178" s="4" t="n">
        <v>1121</v>
      </c>
      <c r="E178" s="4" t="n">
        <f aca="false">INDEX(Assumptions!$E$4:$E$8,MATCH($C178,Assumptions!$D$4:$D$8,0))*(1+Assumptions!$B$10)^((YEAR($A178)-2024))</f>
        <v>169</v>
      </c>
      <c r="F178" s="4" t="n">
        <f aca="false">D178*E178</f>
        <v>189449</v>
      </c>
    </row>
    <row r="179" customFormat="false" ht="15" hidden="false" customHeight="false" outlineLevel="0" collapsed="false">
      <c r="A179" s="2" t="n">
        <v>45627</v>
      </c>
      <c r="B179" s="3" t="s">
        <v>13</v>
      </c>
      <c r="C179" s="0" t="s">
        <v>9</v>
      </c>
      <c r="D179" s="4" t="n">
        <v>1179</v>
      </c>
      <c r="E179" s="4" t="n">
        <f aca="false">INDEX(Assumptions!$E$4:$E$8,MATCH($C179,Assumptions!$D$4:$D$8,0))*(1+Assumptions!$B$10)^((YEAR($A179)-2024))</f>
        <v>199</v>
      </c>
      <c r="F179" s="4" t="n">
        <f aca="false">D179*E179</f>
        <v>234621</v>
      </c>
    </row>
    <row r="180" customFormat="false" ht="15" hidden="false" customHeight="false" outlineLevel="0" collapsed="false">
      <c r="A180" s="2" t="n">
        <v>45627</v>
      </c>
      <c r="B180" s="3" t="s">
        <v>13</v>
      </c>
      <c r="C180" s="0" t="s">
        <v>10</v>
      </c>
      <c r="D180" s="4" t="n">
        <v>969</v>
      </c>
      <c r="E180" s="4" t="n">
        <f aca="false">INDEX(Assumptions!$E$4:$E$8,MATCH($C180,Assumptions!$D$4:$D$8,0))*(1+Assumptions!$B$10)^((YEAR($A180)-2024))</f>
        <v>249</v>
      </c>
      <c r="F180" s="4" t="n">
        <f aca="false">D180*E180</f>
        <v>241281</v>
      </c>
    </row>
    <row r="181" customFormat="false" ht="15" hidden="false" customHeight="false" outlineLevel="0" collapsed="false">
      <c r="A181" s="2" t="n">
        <v>45627</v>
      </c>
      <c r="B181" s="3" t="s">
        <v>13</v>
      </c>
      <c r="C181" s="0" t="s">
        <v>11</v>
      </c>
      <c r="D181" s="4" t="n">
        <v>771</v>
      </c>
      <c r="E181" s="4" t="n">
        <f aca="false">INDEX(Assumptions!$E$4:$E$8,MATCH($C181,Assumptions!$D$4:$D$8,0))*(1+Assumptions!$B$10)^((YEAR($A181)-2024))</f>
        <v>299</v>
      </c>
      <c r="F181" s="4" t="n">
        <f aca="false">D181*E181</f>
        <v>230529</v>
      </c>
    </row>
    <row r="182" customFormat="false" ht="15" hidden="false" customHeight="false" outlineLevel="0" collapsed="false">
      <c r="A182" s="2" t="n">
        <v>45658</v>
      </c>
      <c r="B182" s="3" t="s">
        <v>6</v>
      </c>
      <c r="C182" s="0" t="s">
        <v>7</v>
      </c>
      <c r="D182" s="4" t="n">
        <v>2212</v>
      </c>
      <c r="E182" s="4" t="n">
        <f aca="false">INDEX(Assumptions!$E$4:$E$8,MATCH($C182,Assumptions!$D$4:$D$8,0))*(1+Assumptions!$B$10)^((YEAR($A182)-2024))</f>
        <v>135.45</v>
      </c>
      <c r="F182" s="4" t="n">
        <f aca="false">D182*E182</f>
        <v>299615.4</v>
      </c>
    </row>
    <row r="183" customFormat="false" ht="15" hidden="false" customHeight="false" outlineLevel="0" collapsed="false">
      <c r="A183" s="2" t="n">
        <v>45658</v>
      </c>
      <c r="B183" s="3" t="s">
        <v>6</v>
      </c>
      <c r="C183" s="0" t="s">
        <v>8</v>
      </c>
      <c r="D183" s="4" t="n">
        <v>1959</v>
      </c>
      <c r="E183" s="4" t="n">
        <f aca="false">INDEX(Assumptions!$E$4:$E$8,MATCH($C183,Assumptions!$D$4:$D$8,0))*(1+Assumptions!$B$10)^((YEAR($A183)-2024))</f>
        <v>177.45</v>
      </c>
      <c r="F183" s="4" t="n">
        <f aca="false">D183*E183</f>
        <v>347624.55</v>
      </c>
    </row>
    <row r="184" customFormat="false" ht="15" hidden="false" customHeight="false" outlineLevel="0" collapsed="false">
      <c r="A184" s="2" t="n">
        <v>45658</v>
      </c>
      <c r="B184" s="3" t="s">
        <v>6</v>
      </c>
      <c r="C184" s="0" t="s">
        <v>9</v>
      </c>
      <c r="D184" s="4" t="n">
        <v>2015</v>
      </c>
      <c r="E184" s="4" t="n">
        <f aca="false">INDEX(Assumptions!$E$4:$E$8,MATCH($C184,Assumptions!$D$4:$D$8,0))*(1+Assumptions!$B$10)^((YEAR($A184)-2024))</f>
        <v>208.95</v>
      </c>
      <c r="F184" s="4" t="n">
        <f aca="false">D184*E184</f>
        <v>421034.25</v>
      </c>
    </row>
    <row r="185" customFormat="false" ht="15" hidden="false" customHeight="false" outlineLevel="0" collapsed="false">
      <c r="A185" s="2" t="n">
        <v>45658</v>
      </c>
      <c r="B185" s="3" t="s">
        <v>6</v>
      </c>
      <c r="C185" s="0" t="s">
        <v>10</v>
      </c>
      <c r="D185" s="4" t="n">
        <v>1274</v>
      </c>
      <c r="E185" s="4" t="n">
        <f aca="false">INDEX(Assumptions!$E$4:$E$8,MATCH($C185,Assumptions!$D$4:$D$8,0))*(1+Assumptions!$B$10)^((YEAR($A185)-2024))</f>
        <v>261.45</v>
      </c>
      <c r="F185" s="4" t="n">
        <f aca="false">D185*E185</f>
        <v>333087.3</v>
      </c>
    </row>
    <row r="186" customFormat="false" ht="15" hidden="false" customHeight="false" outlineLevel="0" collapsed="false">
      <c r="A186" s="2" t="n">
        <v>45658</v>
      </c>
      <c r="B186" s="3" t="s">
        <v>6</v>
      </c>
      <c r="C186" s="0" t="s">
        <v>11</v>
      </c>
      <c r="D186" s="4" t="n">
        <v>1105</v>
      </c>
      <c r="E186" s="4" t="n">
        <f aca="false">INDEX(Assumptions!$E$4:$E$8,MATCH($C186,Assumptions!$D$4:$D$8,0))*(1+Assumptions!$B$10)^((YEAR($A186)-2024))</f>
        <v>313.95</v>
      </c>
      <c r="F186" s="4" t="n">
        <f aca="false">D186*E186</f>
        <v>346914.75</v>
      </c>
    </row>
    <row r="187" customFormat="false" ht="15" hidden="false" customHeight="false" outlineLevel="0" collapsed="false">
      <c r="A187" s="2" t="n">
        <v>45658</v>
      </c>
      <c r="B187" s="3" t="s">
        <v>12</v>
      </c>
      <c r="C187" s="0" t="s">
        <v>7</v>
      </c>
      <c r="D187" s="4" t="n">
        <v>1713</v>
      </c>
      <c r="E187" s="4" t="n">
        <f aca="false">INDEX(Assumptions!$E$4:$E$8,MATCH($C187,Assumptions!$D$4:$D$8,0))*(1+Assumptions!$B$10)^((YEAR($A187)-2024))</f>
        <v>135.45</v>
      </c>
      <c r="F187" s="4" t="n">
        <f aca="false">D187*E187</f>
        <v>232025.85</v>
      </c>
    </row>
    <row r="188" customFormat="false" ht="15" hidden="false" customHeight="false" outlineLevel="0" collapsed="false">
      <c r="A188" s="2" t="n">
        <v>45658</v>
      </c>
      <c r="B188" s="3" t="s">
        <v>12</v>
      </c>
      <c r="C188" s="0" t="s">
        <v>8</v>
      </c>
      <c r="D188" s="4" t="n">
        <v>1795</v>
      </c>
      <c r="E188" s="4" t="n">
        <f aca="false">INDEX(Assumptions!$E$4:$E$8,MATCH($C188,Assumptions!$D$4:$D$8,0))*(1+Assumptions!$B$10)^((YEAR($A188)-2024))</f>
        <v>177.45</v>
      </c>
      <c r="F188" s="4" t="n">
        <f aca="false">D188*E188</f>
        <v>318522.75</v>
      </c>
    </row>
    <row r="189" customFormat="false" ht="15" hidden="false" customHeight="false" outlineLevel="0" collapsed="false">
      <c r="A189" s="2" t="n">
        <v>45658</v>
      </c>
      <c r="B189" s="3" t="s">
        <v>12</v>
      </c>
      <c r="C189" s="0" t="s">
        <v>9</v>
      </c>
      <c r="D189" s="4" t="n">
        <v>1414</v>
      </c>
      <c r="E189" s="4" t="n">
        <f aca="false">INDEX(Assumptions!$E$4:$E$8,MATCH($C189,Assumptions!$D$4:$D$8,0))*(1+Assumptions!$B$10)^((YEAR($A189)-2024))</f>
        <v>208.95</v>
      </c>
      <c r="F189" s="4" t="n">
        <f aca="false">D189*E189</f>
        <v>295455.3</v>
      </c>
    </row>
    <row r="190" customFormat="false" ht="15" hidden="false" customHeight="false" outlineLevel="0" collapsed="false">
      <c r="A190" s="2" t="n">
        <v>45658</v>
      </c>
      <c r="B190" s="3" t="s">
        <v>12</v>
      </c>
      <c r="C190" s="0" t="s">
        <v>10</v>
      </c>
      <c r="D190" s="4" t="n">
        <v>1142</v>
      </c>
      <c r="E190" s="4" t="n">
        <f aca="false">INDEX(Assumptions!$E$4:$E$8,MATCH($C190,Assumptions!$D$4:$D$8,0))*(1+Assumptions!$B$10)^((YEAR($A190)-2024))</f>
        <v>261.45</v>
      </c>
      <c r="F190" s="4" t="n">
        <f aca="false">D190*E190</f>
        <v>298575.9</v>
      </c>
    </row>
    <row r="191" customFormat="false" ht="15" hidden="false" customHeight="false" outlineLevel="0" collapsed="false">
      <c r="A191" s="2" t="n">
        <v>45658</v>
      </c>
      <c r="B191" s="3" t="s">
        <v>12</v>
      </c>
      <c r="C191" s="0" t="s">
        <v>11</v>
      </c>
      <c r="D191" s="4" t="n">
        <v>974</v>
      </c>
      <c r="E191" s="4" t="n">
        <f aca="false">INDEX(Assumptions!$E$4:$E$8,MATCH($C191,Assumptions!$D$4:$D$8,0))*(1+Assumptions!$B$10)^((YEAR($A191)-2024))</f>
        <v>313.95</v>
      </c>
      <c r="F191" s="4" t="n">
        <f aca="false">D191*E191</f>
        <v>305787.3</v>
      </c>
    </row>
    <row r="192" customFormat="false" ht="15" hidden="false" customHeight="false" outlineLevel="0" collapsed="false">
      <c r="A192" s="2" t="n">
        <v>45658</v>
      </c>
      <c r="B192" s="3" t="s">
        <v>13</v>
      </c>
      <c r="C192" s="0" t="s">
        <v>7</v>
      </c>
      <c r="D192" s="4" t="n">
        <v>1582</v>
      </c>
      <c r="E192" s="4" t="n">
        <f aca="false">INDEX(Assumptions!$E$4:$E$8,MATCH($C192,Assumptions!$D$4:$D$8,0))*(1+Assumptions!$B$10)^((YEAR($A192)-2024))</f>
        <v>135.45</v>
      </c>
      <c r="F192" s="4" t="n">
        <f aca="false">D192*E192</f>
        <v>214281.9</v>
      </c>
    </row>
    <row r="193" customFormat="false" ht="15" hidden="false" customHeight="false" outlineLevel="0" collapsed="false">
      <c r="A193" s="2" t="n">
        <v>45658</v>
      </c>
      <c r="B193" s="3" t="s">
        <v>13</v>
      </c>
      <c r="C193" s="0" t="s">
        <v>8</v>
      </c>
      <c r="D193" s="4" t="n">
        <v>1361</v>
      </c>
      <c r="E193" s="4" t="n">
        <f aca="false">INDEX(Assumptions!$E$4:$E$8,MATCH($C193,Assumptions!$D$4:$D$8,0))*(1+Assumptions!$B$10)^((YEAR($A193)-2024))</f>
        <v>177.45</v>
      </c>
      <c r="F193" s="4" t="n">
        <f aca="false">D193*E193</f>
        <v>241509.45</v>
      </c>
    </row>
    <row r="194" customFormat="false" ht="15" hidden="false" customHeight="false" outlineLevel="0" collapsed="false">
      <c r="A194" s="2" t="n">
        <v>45658</v>
      </c>
      <c r="B194" s="3" t="s">
        <v>13</v>
      </c>
      <c r="C194" s="0" t="s">
        <v>9</v>
      </c>
      <c r="D194" s="4" t="n">
        <v>1273</v>
      </c>
      <c r="E194" s="4" t="n">
        <f aca="false">INDEX(Assumptions!$E$4:$E$8,MATCH($C194,Assumptions!$D$4:$D$8,0))*(1+Assumptions!$B$10)^((YEAR($A194)-2024))</f>
        <v>208.95</v>
      </c>
      <c r="F194" s="4" t="n">
        <f aca="false">D194*E194</f>
        <v>265993.35</v>
      </c>
    </row>
    <row r="195" customFormat="false" ht="15" hidden="false" customHeight="false" outlineLevel="0" collapsed="false">
      <c r="A195" s="2" t="n">
        <v>45658</v>
      </c>
      <c r="B195" s="3" t="s">
        <v>13</v>
      </c>
      <c r="C195" s="0" t="s">
        <v>10</v>
      </c>
      <c r="D195" s="4" t="n">
        <v>1277</v>
      </c>
      <c r="E195" s="4" t="n">
        <f aca="false">INDEX(Assumptions!$E$4:$E$8,MATCH($C195,Assumptions!$D$4:$D$8,0))*(1+Assumptions!$B$10)^((YEAR($A195)-2024))</f>
        <v>261.45</v>
      </c>
      <c r="F195" s="4" t="n">
        <f aca="false">D195*E195</f>
        <v>333871.65</v>
      </c>
    </row>
    <row r="196" customFormat="false" ht="15" hidden="false" customHeight="false" outlineLevel="0" collapsed="false">
      <c r="A196" s="2" t="n">
        <v>45658</v>
      </c>
      <c r="B196" s="3" t="s">
        <v>13</v>
      </c>
      <c r="C196" s="0" t="s">
        <v>11</v>
      </c>
      <c r="D196" s="4" t="n">
        <v>875</v>
      </c>
      <c r="E196" s="4" t="n">
        <f aca="false">INDEX(Assumptions!$E$4:$E$8,MATCH($C196,Assumptions!$D$4:$D$8,0))*(1+Assumptions!$B$10)^((YEAR($A196)-2024))</f>
        <v>313.95</v>
      </c>
      <c r="F196" s="4" t="n">
        <f aca="false">D196*E196</f>
        <v>274706.25</v>
      </c>
    </row>
    <row r="197" customFormat="false" ht="15" hidden="false" customHeight="false" outlineLevel="0" collapsed="false">
      <c r="A197" s="2" t="n">
        <v>45689</v>
      </c>
      <c r="B197" s="3" t="s">
        <v>6</v>
      </c>
      <c r="C197" s="0" t="s">
        <v>7</v>
      </c>
      <c r="D197" s="4" t="n">
        <v>2581</v>
      </c>
      <c r="E197" s="4" t="n">
        <f aca="false">INDEX(Assumptions!$E$4:$E$8,MATCH($C197,Assumptions!$D$4:$D$8,0))*(1+Assumptions!$B$10)^((YEAR($A197)-2024))</f>
        <v>135.45</v>
      </c>
      <c r="F197" s="4" t="n">
        <f aca="false">D197*E197</f>
        <v>349596.45</v>
      </c>
    </row>
    <row r="198" customFormat="false" ht="15" hidden="false" customHeight="false" outlineLevel="0" collapsed="false">
      <c r="A198" s="2" t="n">
        <v>45689</v>
      </c>
      <c r="B198" s="3" t="s">
        <v>6</v>
      </c>
      <c r="C198" s="0" t="s">
        <v>8</v>
      </c>
      <c r="D198" s="4" t="n">
        <v>2127</v>
      </c>
      <c r="E198" s="4" t="n">
        <f aca="false">INDEX(Assumptions!$E$4:$E$8,MATCH($C198,Assumptions!$D$4:$D$8,0))*(1+Assumptions!$B$10)^((YEAR($A198)-2024))</f>
        <v>177.45</v>
      </c>
      <c r="F198" s="4" t="n">
        <f aca="false">D198*E198</f>
        <v>377436.15</v>
      </c>
    </row>
    <row r="199" customFormat="false" ht="15" hidden="false" customHeight="false" outlineLevel="0" collapsed="false">
      <c r="A199" s="2" t="n">
        <v>45689</v>
      </c>
      <c r="B199" s="3" t="s">
        <v>6</v>
      </c>
      <c r="C199" s="0" t="s">
        <v>9</v>
      </c>
      <c r="D199" s="4" t="n">
        <v>1712</v>
      </c>
      <c r="E199" s="4" t="n">
        <f aca="false">INDEX(Assumptions!$E$4:$E$8,MATCH($C199,Assumptions!$D$4:$D$8,0))*(1+Assumptions!$B$10)^((YEAR($A199)-2024))</f>
        <v>208.95</v>
      </c>
      <c r="F199" s="4" t="n">
        <f aca="false">D199*E199</f>
        <v>357722.4</v>
      </c>
    </row>
    <row r="200" customFormat="false" ht="15" hidden="false" customHeight="false" outlineLevel="0" collapsed="false">
      <c r="A200" s="2" t="n">
        <v>45689</v>
      </c>
      <c r="B200" s="3" t="s">
        <v>6</v>
      </c>
      <c r="C200" s="0" t="s">
        <v>10</v>
      </c>
      <c r="D200" s="4" t="n">
        <v>1874</v>
      </c>
      <c r="E200" s="4" t="n">
        <f aca="false">INDEX(Assumptions!$E$4:$E$8,MATCH($C200,Assumptions!$D$4:$D$8,0))*(1+Assumptions!$B$10)^((YEAR($A200)-2024))</f>
        <v>261.45</v>
      </c>
      <c r="F200" s="4" t="n">
        <f aca="false">D200*E200</f>
        <v>489957.3</v>
      </c>
    </row>
    <row r="201" customFormat="false" ht="15" hidden="false" customHeight="false" outlineLevel="0" collapsed="false">
      <c r="A201" s="2" t="n">
        <v>45689</v>
      </c>
      <c r="B201" s="3" t="s">
        <v>6</v>
      </c>
      <c r="C201" s="0" t="s">
        <v>11</v>
      </c>
      <c r="D201" s="4" t="n">
        <v>1409</v>
      </c>
      <c r="E201" s="4" t="n">
        <f aca="false">INDEX(Assumptions!$E$4:$E$8,MATCH($C201,Assumptions!$D$4:$D$8,0))*(1+Assumptions!$B$10)^((YEAR($A201)-2024))</f>
        <v>313.95</v>
      </c>
      <c r="F201" s="4" t="n">
        <f aca="false">D201*E201</f>
        <v>442355.55</v>
      </c>
    </row>
    <row r="202" customFormat="false" ht="15" hidden="false" customHeight="false" outlineLevel="0" collapsed="false">
      <c r="A202" s="2" t="n">
        <v>45689</v>
      </c>
      <c r="B202" s="3" t="s">
        <v>12</v>
      </c>
      <c r="C202" s="0" t="s">
        <v>7</v>
      </c>
      <c r="D202" s="4" t="n">
        <v>2309</v>
      </c>
      <c r="E202" s="4" t="n">
        <f aca="false">INDEX(Assumptions!$E$4:$E$8,MATCH($C202,Assumptions!$D$4:$D$8,0))*(1+Assumptions!$B$10)^((YEAR($A202)-2024))</f>
        <v>135.45</v>
      </c>
      <c r="F202" s="4" t="n">
        <f aca="false">D202*E202</f>
        <v>312754.05</v>
      </c>
    </row>
    <row r="203" customFormat="false" ht="15" hidden="false" customHeight="false" outlineLevel="0" collapsed="false">
      <c r="A203" s="2" t="n">
        <v>45689</v>
      </c>
      <c r="B203" s="3" t="s">
        <v>12</v>
      </c>
      <c r="C203" s="0" t="s">
        <v>8</v>
      </c>
      <c r="D203" s="4" t="n">
        <v>2055</v>
      </c>
      <c r="E203" s="4" t="n">
        <f aca="false">INDEX(Assumptions!$E$4:$E$8,MATCH($C203,Assumptions!$D$4:$D$8,0))*(1+Assumptions!$B$10)^((YEAR($A203)-2024))</f>
        <v>177.45</v>
      </c>
      <c r="F203" s="4" t="n">
        <f aca="false">D203*E203</f>
        <v>364659.75</v>
      </c>
    </row>
    <row r="204" customFormat="false" ht="15" hidden="false" customHeight="false" outlineLevel="0" collapsed="false">
      <c r="A204" s="2" t="n">
        <v>45689</v>
      </c>
      <c r="B204" s="3" t="s">
        <v>12</v>
      </c>
      <c r="C204" s="0" t="s">
        <v>9</v>
      </c>
      <c r="D204" s="4" t="n">
        <v>1901</v>
      </c>
      <c r="E204" s="4" t="n">
        <f aca="false">INDEX(Assumptions!$E$4:$E$8,MATCH($C204,Assumptions!$D$4:$D$8,0))*(1+Assumptions!$B$10)^((YEAR($A204)-2024))</f>
        <v>208.95</v>
      </c>
      <c r="F204" s="4" t="n">
        <f aca="false">D204*E204</f>
        <v>397213.95</v>
      </c>
    </row>
    <row r="205" customFormat="false" ht="15" hidden="false" customHeight="false" outlineLevel="0" collapsed="false">
      <c r="A205" s="2" t="n">
        <v>45689</v>
      </c>
      <c r="B205" s="3" t="s">
        <v>12</v>
      </c>
      <c r="C205" s="0" t="s">
        <v>10</v>
      </c>
      <c r="D205" s="4" t="n">
        <v>1275</v>
      </c>
      <c r="E205" s="4" t="n">
        <f aca="false">INDEX(Assumptions!$E$4:$E$8,MATCH($C205,Assumptions!$D$4:$D$8,0))*(1+Assumptions!$B$10)^((YEAR($A205)-2024))</f>
        <v>261.45</v>
      </c>
      <c r="F205" s="4" t="n">
        <f aca="false">D205*E205</f>
        <v>333348.75</v>
      </c>
    </row>
    <row r="206" customFormat="false" ht="15" hidden="false" customHeight="false" outlineLevel="0" collapsed="false">
      <c r="A206" s="2" t="n">
        <v>45689</v>
      </c>
      <c r="B206" s="3" t="s">
        <v>12</v>
      </c>
      <c r="C206" s="0" t="s">
        <v>11</v>
      </c>
      <c r="D206" s="4" t="n">
        <v>1108</v>
      </c>
      <c r="E206" s="4" t="n">
        <f aca="false">INDEX(Assumptions!$E$4:$E$8,MATCH($C206,Assumptions!$D$4:$D$8,0))*(1+Assumptions!$B$10)^((YEAR($A206)-2024))</f>
        <v>313.95</v>
      </c>
      <c r="F206" s="4" t="n">
        <f aca="false">D206*E206</f>
        <v>347856.6</v>
      </c>
    </row>
    <row r="207" customFormat="false" ht="15" hidden="false" customHeight="false" outlineLevel="0" collapsed="false">
      <c r="A207" s="2" t="n">
        <v>45689</v>
      </c>
      <c r="B207" s="3" t="s">
        <v>13</v>
      </c>
      <c r="C207" s="0" t="s">
        <v>7</v>
      </c>
      <c r="D207" s="4" t="n">
        <v>1665</v>
      </c>
      <c r="E207" s="4" t="n">
        <f aca="false">INDEX(Assumptions!$E$4:$E$8,MATCH($C207,Assumptions!$D$4:$D$8,0))*(1+Assumptions!$B$10)^((YEAR($A207)-2024))</f>
        <v>135.45</v>
      </c>
      <c r="F207" s="4" t="n">
        <f aca="false">D207*E207</f>
        <v>225524.25</v>
      </c>
    </row>
    <row r="208" customFormat="false" ht="15" hidden="false" customHeight="false" outlineLevel="0" collapsed="false">
      <c r="A208" s="2" t="n">
        <v>45689</v>
      </c>
      <c r="B208" s="3" t="s">
        <v>13</v>
      </c>
      <c r="C208" s="0" t="s">
        <v>8</v>
      </c>
      <c r="D208" s="4" t="n">
        <v>1591</v>
      </c>
      <c r="E208" s="4" t="n">
        <f aca="false">INDEX(Assumptions!$E$4:$E$8,MATCH($C208,Assumptions!$D$4:$D$8,0))*(1+Assumptions!$B$10)^((YEAR($A208)-2024))</f>
        <v>177.45</v>
      </c>
      <c r="F208" s="4" t="n">
        <f aca="false">D208*E208</f>
        <v>282322.95</v>
      </c>
    </row>
    <row r="209" customFormat="false" ht="15" hidden="false" customHeight="false" outlineLevel="0" collapsed="false">
      <c r="A209" s="2" t="n">
        <v>45689</v>
      </c>
      <c r="B209" s="3" t="s">
        <v>13</v>
      </c>
      <c r="C209" s="0" t="s">
        <v>9</v>
      </c>
      <c r="D209" s="4" t="n">
        <v>1344</v>
      </c>
      <c r="E209" s="4" t="n">
        <f aca="false">INDEX(Assumptions!$E$4:$E$8,MATCH($C209,Assumptions!$D$4:$D$8,0))*(1+Assumptions!$B$10)^((YEAR($A209)-2024))</f>
        <v>208.95</v>
      </c>
      <c r="F209" s="4" t="n">
        <f aca="false">D209*E209</f>
        <v>280828.8</v>
      </c>
    </row>
    <row r="210" customFormat="false" ht="15" hidden="false" customHeight="false" outlineLevel="0" collapsed="false">
      <c r="A210" s="2" t="n">
        <v>45689</v>
      </c>
      <c r="B210" s="3" t="s">
        <v>13</v>
      </c>
      <c r="C210" s="0" t="s">
        <v>10</v>
      </c>
      <c r="D210" s="4" t="n">
        <v>1229</v>
      </c>
      <c r="E210" s="4" t="n">
        <f aca="false">INDEX(Assumptions!$E$4:$E$8,MATCH($C210,Assumptions!$D$4:$D$8,0))*(1+Assumptions!$B$10)^((YEAR($A210)-2024))</f>
        <v>261.45</v>
      </c>
      <c r="F210" s="4" t="n">
        <f aca="false">D210*E210</f>
        <v>321322.05</v>
      </c>
    </row>
    <row r="211" customFormat="false" ht="15" hidden="false" customHeight="false" outlineLevel="0" collapsed="false">
      <c r="A211" s="2" t="n">
        <v>45689</v>
      </c>
      <c r="B211" s="3" t="s">
        <v>13</v>
      </c>
      <c r="C211" s="0" t="s">
        <v>11</v>
      </c>
      <c r="D211" s="4" t="n">
        <v>1148</v>
      </c>
      <c r="E211" s="4" t="n">
        <f aca="false">INDEX(Assumptions!$E$4:$E$8,MATCH($C211,Assumptions!$D$4:$D$8,0))*(1+Assumptions!$B$10)^((YEAR($A211)-2024))</f>
        <v>313.95</v>
      </c>
      <c r="F211" s="4" t="n">
        <f aca="false">D211*E211</f>
        <v>360414.6</v>
      </c>
    </row>
    <row r="212" customFormat="false" ht="15" hidden="false" customHeight="false" outlineLevel="0" collapsed="false">
      <c r="A212" s="2" t="n">
        <v>45717</v>
      </c>
      <c r="B212" s="3" t="s">
        <v>6</v>
      </c>
      <c r="C212" s="0" t="s">
        <v>7</v>
      </c>
      <c r="D212" s="4" t="n">
        <v>2340</v>
      </c>
      <c r="E212" s="4" t="n">
        <f aca="false">INDEX(Assumptions!$E$4:$E$8,MATCH($C212,Assumptions!$D$4:$D$8,0))*(1+Assumptions!$B$10)^((YEAR($A212)-2024))</f>
        <v>135.45</v>
      </c>
      <c r="F212" s="4" t="n">
        <f aca="false">D212*E212</f>
        <v>316953</v>
      </c>
    </row>
    <row r="213" customFormat="false" ht="15" hidden="false" customHeight="false" outlineLevel="0" collapsed="false">
      <c r="A213" s="2" t="n">
        <v>45717</v>
      </c>
      <c r="B213" s="3" t="s">
        <v>6</v>
      </c>
      <c r="C213" s="0" t="s">
        <v>8</v>
      </c>
      <c r="D213" s="4" t="n">
        <v>2459</v>
      </c>
      <c r="E213" s="4" t="n">
        <f aca="false">INDEX(Assumptions!$E$4:$E$8,MATCH($C213,Assumptions!$D$4:$D$8,0))*(1+Assumptions!$B$10)^((YEAR($A213)-2024))</f>
        <v>177.45</v>
      </c>
      <c r="F213" s="4" t="n">
        <f aca="false">D213*E213</f>
        <v>436349.55</v>
      </c>
    </row>
    <row r="214" customFormat="false" ht="15" hidden="false" customHeight="false" outlineLevel="0" collapsed="false">
      <c r="A214" s="2" t="n">
        <v>45717</v>
      </c>
      <c r="B214" s="3" t="s">
        <v>6</v>
      </c>
      <c r="C214" s="0" t="s">
        <v>9</v>
      </c>
      <c r="D214" s="4" t="n">
        <v>2111</v>
      </c>
      <c r="E214" s="4" t="n">
        <f aca="false">INDEX(Assumptions!$E$4:$E$8,MATCH($C214,Assumptions!$D$4:$D$8,0))*(1+Assumptions!$B$10)^((YEAR($A214)-2024))</f>
        <v>208.95</v>
      </c>
      <c r="F214" s="4" t="n">
        <f aca="false">D214*E214</f>
        <v>441093.45</v>
      </c>
    </row>
    <row r="215" customFormat="false" ht="15" hidden="false" customHeight="false" outlineLevel="0" collapsed="false">
      <c r="A215" s="2" t="n">
        <v>45717</v>
      </c>
      <c r="B215" s="3" t="s">
        <v>6</v>
      </c>
      <c r="C215" s="0" t="s">
        <v>10</v>
      </c>
      <c r="D215" s="4" t="n">
        <v>1722</v>
      </c>
      <c r="E215" s="4" t="n">
        <f aca="false">INDEX(Assumptions!$E$4:$E$8,MATCH($C215,Assumptions!$D$4:$D$8,0))*(1+Assumptions!$B$10)^((YEAR($A215)-2024))</f>
        <v>261.45</v>
      </c>
      <c r="F215" s="4" t="n">
        <f aca="false">D215*E215</f>
        <v>450216.9</v>
      </c>
    </row>
    <row r="216" customFormat="false" ht="15" hidden="false" customHeight="false" outlineLevel="0" collapsed="false">
      <c r="A216" s="2" t="n">
        <v>45717</v>
      </c>
      <c r="B216" s="3" t="s">
        <v>6</v>
      </c>
      <c r="C216" s="0" t="s">
        <v>11</v>
      </c>
      <c r="D216" s="4" t="n">
        <v>1575</v>
      </c>
      <c r="E216" s="4" t="n">
        <f aca="false">INDEX(Assumptions!$E$4:$E$8,MATCH($C216,Assumptions!$D$4:$D$8,0))*(1+Assumptions!$B$10)^((YEAR($A216)-2024))</f>
        <v>313.95</v>
      </c>
      <c r="F216" s="4" t="n">
        <f aca="false">D216*E216</f>
        <v>494471.25</v>
      </c>
    </row>
    <row r="217" customFormat="false" ht="15" hidden="false" customHeight="false" outlineLevel="0" collapsed="false">
      <c r="A217" s="2" t="n">
        <v>45717</v>
      </c>
      <c r="B217" s="3" t="s">
        <v>12</v>
      </c>
      <c r="C217" s="0" t="s">
        <v>7</v>
      </c>
      <c r="D217" s="4" t="n">
        <v>2515</v>
      </c>
      <c r="E217" s="4" t="n">
        <f aca="false">INDEX(Assumptions!$E$4:$E$8,MATCH($C217,Assumptions!$D$4:$D$8,0))*(1+Assumptions!$B$10)^((YEAR($A217)-2024))</f>
        <v>135.45</v>
      </c>
      <c r="F217" s="4" t="n">
        <f aca="false">D217*E217</f>
        <v>340656.75</v>
      </c>
    </row>
    <row r="218" customFormat="false" ht="15" hidden="false" customHeight="false" outlineLevel="0" collapsed="false">
      <c r="A218" s="2" t="n">
        <v>45717</v>
      </c>
      <c r="B218" s="3" t="s">
        <v>12</v>
      </c>
      <c r="C218" s="0" t="s">
        <v>8</v>
      </c>
      <c r="D218" s="4" t="n">
        <v>2003</v>
      </c>
      <c r="E218" s="4" t="n">
        <f aca="false">INDEX(Assumptions!$E$4:$E$8,MATCH($C218,Assumptions!$D$4:$D$8,0))*(1+Assumptions!$B$10)^((YEAR($A218)-2024))</f>
        <v>177.45</v>
      </c>
      <c r="F218" s="4" t="n">
        <f aca="false">D218*E218</f>
        <v>355432.35</v>
      </c>
    </row>
    <row r="219" customFormat="false" ht="15" hidden="false" customHeight="false" outlineLevel="0" collapsed="false">
      <c r="A219" s="2" t="n">
        <v>45717</v>
      </c>
      <c r="B219" s="3" t="s">
        <v>12</v>
      </c>
      <c r="C219" s="0" t="s">
        <v>9</v>
      </c>
      <c r="D219" s="4" t="n">
        <v>1983</v>
      </c>
      <c r="E219" s="4" t="n">
        <f aca="false">INDEX(Assumptions!$E$4:$E$8,MATCH($C219,Assumptions!$D$4:$D$8,0))*(1+Assumptions!$B$10)^((YEAR($A219)-2024))</f>
        <v>208.95</v>
      </c>
      <c r="F219" s="4" t="n">
        <f aca="false">D219*E219</f>
        <v>414347.85</v>
      </c>
    </row>
    <row r="220" customFormat="false" ht="15" hidden="false" customHeight="false" outlineLevel="0" collapsed="false">
      <c r="A220" s="2" t="n">
        <v>45717</v>
      </c>
      <c r="B220" s="3" t="s">
        <v>12</v>
      </c>
      <c r="C220" s="0" t="s">
        <v>10</v>
      </c>
      <c r="D220" s="4" t="n">
        <v>1374</v>
      </c>
      <c r="E220" s="4" t="n">
        <f aca="false">INDEX(Assumptions!$E$4:$E$8,MATCH($C220,Assumptions!$D$4:$D$8,0))*(1+Assumptions!$B$10)^((YEAR($A220)-2024))</f>
        <v>261.45</v>
      </c>
      <c r="F220" s="4" t="n">
        <f aca="false">D220*E220</f>
        <v>359232.3</v>
      </c>
    </row>
    <row r="221" customFormat="false" ht="15" hidden="false" customHeight="false" outlineLevel="0" collapsed="false">
      <c r="A221" s="2" t="n">
        <v>45717</v>
      </c>
      <c r="B221" s="3" t="s">
        <v>12</v>
      </c>
      <c r="C221" s="0" t="s">
        <v>11</v>
      </c>
      <c r="D221" s="4" t="n">
        <v>1130</v>
      </c>
      <c r="E221" s="4" t="n">
        <f aca="false">INDEX(Assumptions!$E$4:$E$8,MATCH($C221,Assumptions!$D$4:$D$8,0))*(1+Assumptions!$B$10)^((YEAR($A221)-2024))</f>
        <v>313.95</v>
      </c>
      <c r="F221" s="4" t="n">
        <f aca="false">D221*E221</f>
        <v>354763.5</v>
      </c>
    </row>
    <row r="222" customFormat="false" ht="15" hidden="false" customHeight="false" outlineLevel="0" collapsed="false">
      <c r="A222" s="2" t="n">
        <v>45717</v>
      </c>
      <c r="B222" s="3" t="s">
        <v>13</v>
      </c>
      <c r="C222" s="0" t="s">
        <v>7</v>
      </c>
      <c r="D222" s="4" t="n">
        <v>2247</v>
      </c>
      <c r="E222" s="4" t="n">
        <f aca="false">INDEX(Assumptions!$E$4:$E$8,MATCH($C222,Assumptions!$D$4:$D$8,0))*(1+Assumptions!$B$10)^((YEAR($A222)-2024))</f>
        <v>135.45</v>
      </c>
      <c r="F222" s="4" t="n">
        <f aca="false">D222*E222</f>
        <v>304356.15</v>
      </c>
    </row>
    <row r="223" customFormat="false" ht="15" hidden="false" customHeight="false" outlineLevel="0" collapsed="false">
      <c r="A223" s="2" t="n">
        <v>45717</v>
      </c>
      <c r="B223" s="3" t="s">
        <v>13</v>
      </c>
      <c r="C223" s="0" t="s">
        <v>8</v>
      </c>
      <c r="D223" s="4" t="n">
        <v>1815</v>
      </c>
      <c r="E223" s="4" t="n">
        <f aca="false">INDEX(Assumptions!$E$4:$E$8,MATCH($C223,Assumptions!$D$4:$D$8,0))*(1+Assumptions!$B$10)^((YEAR($A223)-2024))</f>
        <v>177.45</v>
      </c>
      <c r="F223" s="4" t="n">
        <f aca="false">D223*E223</f>
        <v>322071.75</v>
      </c>
    </row>
    <row r="224" customFormat="false" ht="15" hidden="false" customHeight="false" outlineLevel="0" collapsed="false">
      <c r="A224" s="2" t="n">
        <v>45717</v>
      </c>
      <c r="B224" s="3" t="s">
        <v>13</v>
      </c>
      <c r="C224" s="0" t="s">
        <v>9</v>
      </c>
      <c r="D224" s="4" t="n">
        <v>1696</v>
      </c>
      <c r="E224" s="4" t="n">
        <f aca="false">INDEX(Assumptions!$E$4:$E$8,MATCH($C224,Assumptions!$D$4:$D$8,0))*(1+Assumptions!$B$10)^((YEAR($A224)-2024))</f>
        <v>208.95</v>
      </c>
      <c r="F224" s="4" t="n">
        <f aca="false">D224*E224</f>
        <v>354379.2</v>
      </c>
    </row>
    <row r="225" customFormat="false" ht="15" hidden="false" customHeight="false" outlineLevel="0" collapsed="false">
      <c r="A225" s="2" t="n">
        <v>45717</v>
      </c>
      <c r="B225" s="3" t="s">
        <v>13</v>
      </c>
      <c r="C225" s="0" t="s">
        <v>10</v>
      </c>
      <c r="D225" s="4" t="n">
        <v>1482</v>
      </c>
      <c r="E225" s="4" t="n">
        <f aca="false">INDEX(Assumptions!$E$4:$E$8,MATCH($C225,Assumptions!$D$4:$D$8,0))*(1+Assumptions!$B$10)^((YEAR($A225)-2024))</f>
        <v>261.45</v>
      </c>
      <c r="F225" s="4" t="n">
        <f aca="false">D225*E225</f>
        <v>387468.9</v>
      </c>
    </row>
    <row r="226" customFormat="false" ht="15" hidden="false" customHeight="false" outlineLevel="0" collapsed="false">
      <c r="A226" s="2" t="n">
        <v>45717</v>
      </c>
      <c r="B226" s="3" t="s">
        <v>13</v>
      </c>
      <c r="C226" s="0" t="s">
        <v>11</v>
      </c>
      <c r="D226" s="4" t="n">
        <v>939</v>
      </c>
      <c r="E226" s="4" t="n">
        <f aca="false">INDEX(Assumptions!$E$4:$E$8,MATCH($C226,Assumptions!$D$4:$D$8,0))*(1+Assumptions!$B$10)^((YEAR($A226)-2024))</f>
        <v>313.95</v>
      </c>
      <c r="F226" s="4" t="n">
        <f aca="false">D226*E226</f>
        <v>294799.05</v>
      </c>
    </row>
    <row r="227" customFormat="false" ht="15" hidden="false" customHeight="false" outlineLevel="0" collapsed="false">
      <c r="A227" s="2" t="n">
        <v>45748</v>
      </c>
      <c r="B227" s="3" t="s">
        <v>6</v>
      </c>
      <c r="C227" s="0" t="s">
        <v>7</v>
      </c>
      <c r="D227" s="4" t="n">
        <v>2652</v>
      </c>
      <c r="E227" s="4" t="n">
        <f aca="false">INDEX(Assumptions!$E$4:$E$8,MATCH($C227,Assumptions!$D$4:$D$8,0))*(1+Assumptions!$B$10)^((YEAR($A227)-2024))</f>
        <v>135.45</v>
      </c>
      <c r="F227" s="4" t="n">
        <f aca="false">D227*E227</f>
        <v>359213.4</v>
      </c>
    </row>
    <row r="228" customFormat="false" ht="15" hidden="false" customHeight="false" outlineLevel="0" collapsed="false">
      <c r="A228" s="2" t="n">
        <v>45748</v>
      </c>
      <c r="B228" s="3" t="s">
        <v>6</v>
      </c>
      <c r="C228" s="0" t="s">
        <v>8</v>
      </c>
      <c r="D228" s="4" t="n">
        <v>2330</v>
      </c>
      <c r="E228" s="4" t="n">
        <f aca="false">INDEX(Assumptions!$E$4:$E$8,MATCH($C228,Assumptions!$D$4:$D$8,0))*(1+Assumptions!$B$10)^((YEAR($A228)-2024))</f>
        <v>177.45</v>
      </c>
      <c r="F228" s="4" t="n">
        <f aca="false">D228*E228</f>
        <v>413458.5</v>
      </c>
    </row>
    <row r="229" customFormat="false" ht="15" hidden="false" customHeight="false" outlineLevel="0" collapsed="false">
      <c r="A229" s="2" t="n">
        <v>45748</v>
      </c>
      <c r="B229" s="3" t="s">
        <v>6</v>
      </c>
      <c r="C229" s="0" t="s">
        <v>9</v>
      </c>
      <c r="D229" s="4" t="n">
        <v>2432</v>
      </c>
      <c r="E229" s="4" t="n">
        <f aca="false">INDEX(Assumptions!$E$4:$E$8,MATCH($C229,Assumptions!$D$4:$D$8,0))*(1+Assumptions!$B$10)^((YEAR($A229)-2024))</f>
        <v>208.95</v>
      </c>
      <c r="F229" s="4" t="n">
        <f aca="false">D229*E229</f>
        <v>508166.4</v>
      </c>
    </row>
    <row r="230" customFormat="false" ht="15" hidden="false" customHeight="false" outlineLevel="0" collapsed="false">
      <c r="A230" s="2" t="n">
        <v>45748</v>
      </c>
      <c r="B230" s="3" t="s">
        <v>6</v>
      </c>
      <c r="C230" s="0" t="s">
        <v>10</v>
      </c>
      <c r="D230" s="4" t="n">
        <v>1625</v>
      </c>
      <c r="E230" s="4" t="n">
        <f aca="false">INDEX(Assumptions!$E$4:$E$8,MATCH($C230,Assumptions!$D$4:$D$8,0))*(1+Assumptions!$B$10)^((YEAR($A230)-2024))</f>
        <v>261.45</v>
      </c>
      <c r="F230" s="4" t="n">
        <f aca="false">D230*E230</f>
        <v>424856.25</v>
      </c>
    </row>
    <row r="231" customFormat="false" ht="15" hidden="false" customHeight="false" outlineLevel="0" collapsed="false">
      <c r="A231" s="2" t="n">
        <v>45748</v>
      </c>
      <c r="B231" s="3" t="s">
        <v>6</v>
      </c>
      <c r="C231" s="0" t="s">
        <v>11</v>
      </c>
      <c r="D231" s="4" t="n">
        <v>1619</v>
      </c>
      <c r="E231" s="4" t="n">
        <f aca="false">INDEX(Assumptions!$E$4:$E$8,MATCH($C231,Assumptions!$D$4:$D$8,0))*(1+Assumptions!$B$10)^((YEAR($A231)-2024))</f>
        <v>313.95</v>
      </c>
      <c r="F231" s="4" t="n">
        <f aca="false">D231*E231</f>
        <v>508285.05</v>
      </c>
    </row>
    <row r="232" customFormat="false" ht="15" hidden="false" customHeight="false" outlineLevel="0" collapsed="false">
      <c r="A232" s="2" t="n">
        <v>45748</v>
      </c>
      <c r="B232" s="3" t="s">
        <v>12</v>
      </c>
      <c r="C232" s="0" t="s">
        <v>7</v>
      </c>
      <c r="D232" s="4" t="n">
        <v>1966</v>
      </c>
      <c r="E232" s="4" t="n">
        <f aca="false">INDEX(Assumptions!$E$4:$E$8,MATCH($C232,Assumptions!$D$4:$D$8,0))*(1+Assumptions!$B$10)^((YEAR($A232)-2024))</f>
        <v>135.45</v>
      </c>
      <c r="F232" s="4" t="n">
        <f aca="false">D232*E232</f>
        <v>266294.7</v>
      </c>
    </row>
    <row r="233" customFormat="false" ht="15" hidden="false" customHeight="false" outlineLevel="0" collapsed="false">
      <c r="A233" s="2" t="n">
        <v>45748</v>
      </c>
      <c r="B233" s="3" t="s">
        <v>12</v>
      </c>
      <c r="C233" s="0" t="s">
        <v>8</v>
      </c>
      <c r="D233" s="4" t="n">
        <v>1834</v>
      </c>
      <c r="E233" s="4" t="n">
        <f aca="false">INDEX(Assumptions!$E$4:$E$8,MATCH($C233,Assumptions!$D$4:$D$8,0))*(1+Assumptions!$B$10)^((YEAR($A233)-2024))</f>
        <v>177.45</v>
      </c>
      <c r="F233" s="4" t="n">
        <f aca="false">D233*E233</f>
        <v>325443.3</v>
      </c>
    </row>
    <row r="234" customFormat="false" ht="15" hidden="false" customHeight="false" outlineLevel="0" collapsed="false">
      <c r="A234" s="2" t="n">
        <v>45748</v>
      </c>
      <c r="B234" s="3" t="s">
        <v>12</v>
      </c>
      <c r="C234" s="0" t="s">
        <v>9</v>
      </c>
      <c r="D234" s="4" t="n">
        <v>1967</v>
      </c>
      <c r="E234" s="4" t="n">
        <f aca="false">INDEX(Assumptions!$E$4:$E$8,MATCH($C234,Assumptions!$D$4:$D$8,0))*(1+Assumptions!$B$10)^((YEAR($A234)-2024))</f>
        <v>208.95</v>
      </c>
      <c r="F234" s="4" t="n">
        <f aca="false">D234*E234</f>
        <v>411004.65</v>
      </c>
    </row>
    <row r="235" customFormat="false" ht="15" hidden="false" customHeight="false" outlineLevel="0" collapsed="false">
      <c r="A235" s="2" t="n">
        <v>45748</v>
      </c>
      <c r="B235" s="3" t="s">
        <v>12</v>
      </c>
      <c r="C235" s="0" t="s">
        <v>10</v>
      </c>
      <c r="D235" s="4" t="n">
        <v>1657</v>
      </c>
      <c r="E235" s="4" t="n">
        <f aca="false">INDEX(Assumptions!$E$4:$E$8,MATCH($C235,Assumptions!$D$4:$D$8,0))*(1+Assumptions!$B$10)^((YEAR($A235)-2024))</f>
        <v>261.45</v>
      </c>
      <c r="F235" s="4" t="n">
        <f aca="false">D235*E235</f>
        <v>433222.65</v>
      </c>
    </row>
    <row r="236" customFormat="false" ht="15" hidden="false" customHeight="false" outlineLevel="0" collapsed="false">
      <c r="A236" s="2" t="n">
        <v>45748</v>
      </c>
      <c r="B236" s="3" t="s">
        <v>12</v>
      </c>
      <c r="C236" s="0" t="s">
        <v>11</v>
      </c>
      <c r="D236" s="4" t="n">
        <v>1139</v>
      </c>
      <c r="E236" s="4" t="n">
        <f aca="false">INDEX(Assumptions!$E$4:$E$8,MATCH($C236,Assumptions!$D$4:$D$8,0))*(1+Assumptions!$B$10)^((YEAR($A236)-2024))</f>
        <v>313.95</v>
      </c>
      <c r="F236" s="4" t="n">
        <f aca="false">D236*E236</f>
        <v>357589.05</v>
      </c>
    </row>
    <row r="237" customFormat="false" ht="15" hidden="false" customHeight="false" outlineLevel="0" collapsed="false">
      <c r="A237" s="2" t="n">
        <v>45748</v>
      </c>
      <c r="B237" s="3" t="s">
        <v>13</v>
      </c>
      <c r="C237" s="0" t="s">
        <v>7</v>
      </c>
      <c r="D237" s="4" t="n">
        <v>1794</v>
      </c>
      <c r="E237" s="4" t="n">
        <f aca="false">INDEX(Assumptions!$E$4:$E$8,MATCH($C237,Assumptions!$D$4:$D$8,0))*(1+Assumptions!$B$10)^((YEAR($A237)-2024))</f>
        <v>135.45</v>
      </c>
      <c r="F237" s="4" t="n">
        <f aca="false">D237*E237</f>
        <v>242997.3</v>
      </c>
    </row>
    <row r="238" customFormat="false" ht="15" hidden="false" customHeight="false" outlineLevel="0" collapsed="false">
      <c r="A238" s="2" t="n">
        <v>45748</v>
      </c>
      <c r="B238" s="3" t="s">
        <v>13</v>
      </c>
      <c r="C238" s="0" t="s">
        <v>8</v>
      </c>
      <c r="D238" s="4" t="n">
        <v>2035</v>
      </c>
      <c r="E238" s="4" t="n">
        <f aca="false">INDEX(Assumptions!$E$4:$E$8,MATCH($C238,Assumptions!$D$4:$D$8,0))*(1+Assumptions!$B$10)^((YEAR($A238)-2024))</f>
        <v>177.45</v>
      </c>
      <c r="F238" s="4" t="n">
        <f aca="false">D238*E238</f>
        <v>361110.75</v>
      </c>
    </row>
    <row r="239" customFormat="false" ht="15" hidden="false" customHeight="false" outlineLevel="0" collapsed="false">
      <c r="A239" s="2" t="n">
        <v>45748</v>
      </c>
      <c r="B239" s="3" t="s">
        <v>13</v>
      </c>
      <c r="C239" s="0" t="s">
        <v>9</v>
      </c>
      <c r="D239" s="4" t="n">
        <v>1590</v>
      </c>
      <c r="E239" s="4" t="n">
        <f aca="false">INDEX(Assumptions!$E$4:$E$8,MATCH($C239,Assumptions!$D$4:$D$8,0))*(1+Assumptions!$B$10)^((YEAR($A239)-2024))</f>
        <v>208.95</v>
      </c>
      <c r="F239" s="4" t="n">
        <f aca="false">D239*E239</f>
        <v>332230.5</v>
      </c>
    </row>
    <row r="240" customFormat="false" ht="15" hidden="false" customHeight="false" outlineLevel="0" collapsed="false">
      <c r="A240" s="2" t="n">
        <v>45748</v>
      </c>
      <c r="B240" s="3" t="s">
        <v>13</v>
      </c>
      <c r="C240" s="0" t="s">
        <v>10</v>
      </c>
      <c r="D240" s="4" t="n">
        <v>1457</v>
      </c>
      <c r="E240" s="4" t="n">
        <f aca="false">INDEX(Assumptions!$E$4:$E$8,MATCH($C240,Assumptions!$D$4:$D$8,0))*(1+Assumptions!$B$10)^((YEAR($A240)-2024))</f>
        <v>261.45</v>
      </c>
      <c r="F240" s="4" t="n">
        <f aca="false">D240*E240</f>
        <v>380932.65</v>
      </c>
    </row>
    <row r="241" customFormat="false" ht="15" hidden="false" customHeight="false" outlineLevel="0" collapsed="false">
      <c r="A241" s="2" t="n">
        <v>45748</v>
      </c>
      <c r="B241" s="3" t="s">
        <v>13</v>
      </c>
      <c r="C241" s="0" t="s">
        <v>11</v>
      </c>
      <c r="D241" s="4" t="n">
        <v>1153</v>
      </c>
      <c r="E241" s="4" t="n">
        <f aca="false">INDEX(Assumptions!$E$4:$E$8,MATCH($C241,Assumptions!$D$4:$D$8,0))*(1+Assumptions!$B$10)^((YEAR($A241)-2024))</f>
        <v>313.95</v>
      </c>
      <c r="F241" s="4" t="n">
        <f aca="false">D241*E241</f>
        <v>361984.35</v>
      </c>
    </row>
    <row r="242" customFormat="false" ht="15" hidden="false" customHeight="false" outlineLevel="0" collapsed="false">
      <c r="A242" s="2" t="n">
        <v>45778</v>
      </c>
      <c r="B242" s="3" t="s">
        <v>6</v>
      </c>
      <c r="C242" s="0" t="s">
        <v>7</v>
      </c>
      <c r="D242" s="4" t="n">
        <v>2457</v>
      </c>
      <c r="E242" s="4" t="n">
        <f aca="false">INDEX(Assumptions!$E$4:$E$8,MATCH($C242,Assumptions!$D$4:$D$8,0))*(1+Assumptions!$B$10)^((YEAR($A242)-2024))</f>
        <v>135.45</v>
      </c>
      <c r="F242" s="4" t="n">
        <f aca="false">D242*E242</f>
        <v>332800.65</v>
      </c>
    </row>
    <row r="243" customFormat="false" ht="15" hidden="false" customHeight="false" outlineLevel="0" collapsed="false">
      <c r="A243" s="2" t="n">
        <v>45778</v>
      </c>
      <c r="B243" s="3" t="s">
        <v>6</v>
      </c>
      <c r="C243" s="0" t="s">
        <v>8</v>
      </c>
      <c r="D243" s="4" t="n">
        <v>2323</v>
      </c>
      <c r="E243" s="4" t="n">
        <f aca="false">INDEX(Assumptions!$E$4:$E$8,MATCH($C243,Assumptions!$D$4:$D$8,0))*(1+Assumptions!$B$10)^((YEAR($A243)-2024))</f>
        <v>177.45</v>
      </c>
      <c r="F243" s="4" t="n">
        <f aca="false">D243*E243</f>
        <v>412216.35</v>
      </c>
    </row>
    <row r="244" customFormat="false" ht="15" hidden="false" customHeight="false" outlineLevel="0" collapsed="false">
      <c r="A244" s="2" t="n">
        <v>45778</v>
      </c>
      <c r="B244" s="3" t="s">
        <v>6</v>
      </c>
      <c r="C244" s="0" t="s">
        <v>9</v>
      </c>
      <c r="D244" s="4" t="n">
        <v>2155</v>
      </c>
      <c r="E244" s="4" t="n">
        <f aca="false">INDEX(Assumptions!$E$4:$E$8,MATCH($C244,Assumptions!$D$4:$D$8,0))*(1+Assumptions!$B$10)^((YEAR($A244)-2024))</f>
        <v>208.95</v>
      </c>
      <c r="F244" s="4" t="n">
        <f aca="false">D244*E244</f>
        <v>450287.25</v>
      </c>
    </row>
    <row r="245" customFormat="false" ht="15" hidden="false" customHeight="false" outlineLevel="0" collapsed="false">
      <c r="A245" s="2" t="n">
        <v>45778</v>
      </c>
      <c r="B245" s="3" t="s">
        <v>6</v>
      </c>
      <c r="C245" s="0" t="s">
        <v>10</v>
      </c>
      <c r="D245" s="4" t="n">
        <v>1992</v>
      </c>
      <c r="E245" s="4" t="n">
        <f aca="false">INDEX(Assumptions!$E$4:$E$8,MATCH($C245,Assumptions!$D$4:$D$8,0))*(1+Assumptions!$B$10)^((YEAR($A245)-2024))</f>
        <v>261.45</v>
      </c>
      <c r="F245" s="4" t="n">
        <f aca="false">D245*E245</f>
        <v>520808.4</v>
      </c>
    </row>
    <row r="246" customFormat="false" ht="15" hidden="false" customHeight="false" outlineLevel="0" collapsed="false">
      <c r="A246" s="2" t="n">
        <v>45778</v>
      </c>
      <c r="B246" s="3" t="s">
        <v>6</v>
      </c>
      <c r="C246" s="0" t="s">
        <v>11</v>
      </c>
      <c r="D246" s="4" t="n">
        <v>1262</v>
      </c>
      <c r="E246" s="4" t="n">
        <f aca="false">INDEX(Assumptions!$E$4:$E$8,MATCH($C246,Assumptions!$D$4:$D$8,0))*(1+Assumptions!$B$10)^((YEAR($A246)-2024))</f>
        <v>313.95</v>
      </c>
      <c r="F246" s="4" t="n">
        <f aca="false">D246*E246</f>
        <v>396204.9</v>
      </c>
    </row>
    <row r="247" customFormat="false" ht="15" hidden="false" customHeight="false" outlineLevel="0" collapsed="false">
      <c r="A247" s="2" t="n">
        <v>45778</v>
      </c>
      <c r="B247" s="3" t="s">
        <v>12</v>
      </c>
      <c r="C247" s="0" t="s">
        <v>7</v>
      </c>
      <c r="D247" s="4" t="n">
        <v>2331</v>
      </c>
      <c r="E247" s="4" t="n">
        <f aca="false">INDEX(Assumptions!$E$4:$E$8,MATCH($C247,Assumptions!$D$4:$D$8,0))*(1+Assumptions!$B$10)^((YEAR($A247)-2024))</f>
        <v>135.45</v>
      </c>
      <c r="F247" s="4" t="n">
        <f aca="false">D247*E247</f>
        <v>315733.95</v>
      </c>
    </row>
    <row r="248" customFormat="false" ht="15" hidden="false" customHeight="false" outlineLevel="0" collapsed="false">
      <c r="A248" s="2" t="n">
        <v>45778</v>
      </c>
      <c r="B248" s="3" t="s">
        <v>12</v>
      </c>
      <c r="C248" s="0" t="s">
        <v>8</v>
      </c>
      <c r="D248" s="4" t="n">
        <v>1816</v>
      </c>
      <c r="E248" s="4" t="n">
        <f aca="false">INDEX(Assumptions!$E$4:$E$8,MATCH($C248,Assumptions!$D$4:$D$8,0))*(1+Assumptions!$B$10)^((YEAR($A248)-2024))</f>
        <v>177.45</v>
      </c>
      <c r="F248" s="4" t="n">
        <f aca="false">D248*E248</f>
        <v>322249.2</v>
      </c>
    </row>
    <row r="249" customFormat="false" ht="15" hidden="false" customHeight="false" outlineLevel="0" collapsed="false">
      <c r="A249" s="2" t="n">
        <v>45778</v>
      </c>
      <c r="B249" s="3" t="s">
        <v>12</v>
      </c>
      <c r="C249" s="0" t="s">
        <v>9</v>
      </c>
      <c r="D249" s="4" t="n">
        <v>1803</v>
      </c>
      <c r="E249" s="4" t="n">
        <f aca="false">INDEX(Assumptions!$E$4:$E$8,MATCH($C249,Assumptions!$D$4:$D$8,0))*(1+Assumptions!$B$10)^((YEAR($A249)-2024))</f>
        <v>208.95</v>
      </c>
      <c r="F249" s="4" t="n">
        <f aca="false">D249*E249</f>
        <v>376736.85</v>
      </c>
    </row>
    <row r="250" customFormat="false" ht="15" hidden="false" customHeight="false" outlineLevel="0" collapsed="false">
      <c r="A250" s="2" t="n">
        <v>45778</v>
      </c>
      <c r="B250" s="3" t="s">
        <v>12</v>
      </c>
      <c r="C250" s="0" t="s">
        <v>10</v>
      </c>
      <c r="D250" s="4" t="n">
        <v>1611</v>
      </c>
      <c r="E250" s="4" t="n">
        <f aca="false">INDEX(Assumptions!$E$4:$E$8,MATCH($C250,Assumptions!$D$4:$D$8,0))*(1+Assumptions!$B$10)^((YEAR($A250)-2024))</f>
        <v>261.45</v>
      </c>
      <c r="F250" s="4" t="n">
        <f aca="false">D250*E250</f>
        <v>421195.95</v>
      </c>
    </row>
    <row r="251" customFormat="false" ht="15" hidden="false" customHeight="false" outlineLevel="0" collapsed="false">
      <c r="A251" s="2" t="n">
        <v>45778</v>
      </c>
      <c r="B251" s="3" t="s">
        <v>12</v>
      </c>
      <c r="C251" s="0" t="s">
        <v>11</v>
      </c>
      <c r="D251" s="4" t="n">
        <v>1132</v>
      </c>
      <c r="E251" s="4" t="n">
        <f aca="false">INDEX(Assumptions!$E$4:$E$8,MATCH($C251,Assumptions!$D$4:$D$8,0))*(1+Assumptions!$B$10)^((YEAR($A251)-2024))</f>
        <v>313.95</v>
      </c>
      <c r="F251" s="4" t="n">
        <f aca="false">D251*E251</f>
        <v>355391.4</v>
      </c>
    </row>
    <row r="252" customFormat="false" ht="15" hidden="false" customHeight="false" outlineLevel="0" collapsed="false">
      <c r="A252" s="2" t="n">
        <v>45778</v>
      </c>
      <c r="B252" s="3" t="s">
        <v>13</v>
      </c>
      <c r="C252" s="0" t="s">
        <v>7</v>
      </c>
      <c r="D252" s="4" t="n">
        <v>1862</v>
      </c>
      <c r="E252" s="4" t="n">
        <f aca="false">INDEX(Assumptions!$E$4:$E$8,MATCH($C252,Assumptions!$D$4:$D$8,0))*(1+Assumptions!$B$10)^((YEAR($A252)-2024))</f>
        <v>135.45</v>
      </c>
      <c r="F252" s="4" t="n">
        <f aca="false">D252*E252</f>
        <v>252207.9</v>
      </c>
    </row>
    <row r="253" customFormat="false" ht="15" hidden="false" customHeight="false" outlineLevel="0" collapsed="false">
      <c r="A253" s="2" t="n">
        <v>45778</v>
      </c>
      <c r="B253" s="3" t="s">
        <v>13</v>
      </c>
      <c r="C253" s="0" t="s">
        <v>8</v>
      </c>
      <c r="D253" s="4" t="n">
        <v>1907</v>
      </c>
      <c r="E253" s="4" t="n">
        <f aca="false">INDEX(Assumptions!$E$4:$E$8,MATCH($C253,Assumptions!$D$4:$D$8,0))*(1+Assumptions!$B$10)^((YEAR($A253)-2024))</f>
        <v>177.45</v>
      </c>
      <c r="F253" s="4" t="n">
        <f aca="false">D253*E253</f>
        <v>338397.15</v>
      </c>
    </row>
    <row r="254" customFormat="false" ht="15" hidden="false" customHeight="false" outlineLevel="0" collapsed="false">
      <c r="A254" s="2" t="n">
        <v>45778</v>
      </c>
      <c r="B254" s="3" t="s">
        <v>13</v>
      </c>
      <c r="C254" s="0" t="s">
        <v>9</v>
      </c>
      <c r="D254" s="4" t="n">
        <v>1460</v>
      </c>
      <c r="E254" s="4" t="n">
        <f aca="false">INDEX(Assumptions!$E$4:$E$8,MATCH($C254,Assumptions!$D$4:$D$8,0))*(1+Assumptions!$B$10)^((YEAR($A254)-2024))</f>
        <v>208.95</v>
      </c>
      <c r="F254" s="4" t="n">
        <f aca="false">D254*E254</f>
        <v>305067</v>
      </c>
    </row>
    <row r="255" customFormat="false" ht="15" hidden="false" customHeight="false" outlineLevel="0" collapsed="false">
      <c r="A255" s="2" t="n">
        <v>45778</v>
      </c>
      <c r="B255" s="3" t="s">
        <v>13</v>
      </c>
      <c r="C255" s="0" t="s">
        <v>10</v>
      </c>
      <c r="D255" s="4" t="n">
        <v>1362</v>
      </c>
      <c r="E255" s="4" t="n">
        <f aca="false">INDEX(Assumptions!$E$4:$E$8,MATCH($C255,Assumptions!$D$4:$D$8,0))*(1+Assumptions!$B$10)^((YEAR($A255)-2024))</f>
        <v>261.45</v>
      </c>
      <c r="F255" s="4" t="n">
        <f aca="false">D255*E255</f>
        <v>356094.9</v>
      </c>
    </row>
    <row r="256" customFormat="false" ht="15" hidden="false" customHeight="false" outlineLevel="0" collapsed="false">
      <c r="A256" s="2" t="n">
        <v>45778</v>
      </c>
      <c r="B256" s="3" t="s">
        <v>13</v>
      </c>
      <c r="C256" s="0" t="s">
        <v>11</v>
      </c>
      <c r="D256" s="4" t="n">
        <v>1245</v>
      </c>
      <c r="E256" s="4" t="n">
        <f aca="false">INDEX(Assumptions!$E$4:$E$8,MATCH($C256,Assumptions!$D$4:$D$8,0))*(1+Assumptions!$B$10)^((YEAR($A256)-2024))</f>
        <v>313.95</v>
      </c>
      <c r="F256" s="4" t="n">
        <f aca="false">D256*E256</f>
        <v>390867.75</v>
      </c>
    </row>
    <row r="257" customFormat="false" ht="15" hidden="false" customHeight="false" outlineLevel="0" collapsed="false">
      <c r="A257" s="2" t="n">
        <v>45809</v>
      </c>
      <c r="B257" s="3" t="s">
        <v>6</v>
      </c>
      <c r="C257" s="0" t="s">
        <v>7</v>
      </c>
      <c r="D257" s="4" t="n">
        <v>2675</v>
      </c>
      <c r="E257" s="4" t="n">
        <f aca="false">INDEX(Assumptions!$E$4:$E$8,MATCH($C257,Assumptions!$D$4:$D$8,0))*(1+Assumptions!$B$10)^((YEAR($A257)-2024))</f>
        <v>135.45</v>
      </c>
      <c r="F257" s="4" t="n">
        <f aca="false">D257*E257</f>
        <v>362328.75</v>
      </c>
    </row>
    <row r="258" customFormat="false" ht="15" hidden="false" customHeight="false" outlineLevel="0" collapsed="false">
      <c r="A258" s="2" t="n">
        <v>45809</v>
      </c>
      <c r="B258" s="3" t="s">
        <v>6</v>
      </c>
      <c r="C258" s="0" t="s">
        <v>8</v>
      </c>
      <c r="D258" s="4" t="n">
        <v>1827</v>
      </c>
      <c r="E258" s="4" t="n">
        <f aca="false">INDEX(Assumptions!$E$4:$E$8,MATCH($C258,Assumptions!$D$4:$D$8,0))*(1+Assumptions!$B$10)^((YEAR($A258)-2024))</f>
        <v>177.45</v>
      </c>
      <c r="F258" s="4" t="n">
        <f aca="false">D258*E258</f>
        <v>324201.15</v>
      </c>
    </row>
    <row r="259" customFormat="false" ht="15" hidden="false" customHeight="false" outlineLevel="0" collapsed="false">
      <c r="A259" s="2" t="n">
        <v>45809</v>
      </c>
      <c r="B259" s="3" t="s">
        <v>6</v>
      </c>
      <c r="C259" s="0" t="s">
        <v>9</v>
      </c>
      <c r="D259" s="4" t="n">
        <v>1809</v>
      </c>
      <c r="E259" s="4" t="n">
        <f aca="false">INDEX(Assumptions!$E$4:$E$8,MATCH($C259,Assumptions!$D$4:$D$8,0))*(1+Assumptions!$B$10)^((YEAR($A259)-2024))</f>
        <v>208.95</v>
      </c>
      <c r="F259" s="4" t="n">
        <f aca="false">D259*E259</f>
        <v>377990.55</v>
      </c>
    </row>
    <row r="260" customFormat="false" ht="15" hidden="false" customHeight="false" outlineLevel="0" collapsed="false">
      <c r="A260" s="2" t="n">
        <v>45809</v>
      </c>
      <c r="B260" s="3" t="s">
        <v>6</v>
      </c>
      <c r="C260" s="0" t="s">
        <v>10</v>
      </c>
      <c r="D260" s="4" t="n">
        <v>1515</v>
      </c>
      <c r="E260" s="4" t="n">
        <f aca="false">INDEX(Assumptions!$E$4:$E$8,MATCH($C260,Assumptions!$D$4:$D$8,0))*(1+Assumptions!$B$10)^((YEAR($A260)-2024))</f>
        <v>261.45</v>
      </c>
      <c r="F260" s="4" t="n">
        <f aca="false">D260*E260</f>
        <v>396096.75</v>
      </c>
    </row>
    <row r="261" customFormat="false" ht="15" hidden="false" customHeight="false" outlineLevel="0" collapsed="false">
      <c r="A261" s="2" t="n">
        <v>45809</v>
      </c>
      <c r="B261" s="3" t="s">
        <v>6</v>
      </c>
      <c r="C261" s="0" t="s">
        <v>11</v>
      </c>
      <c r="D261" s="4" t="n">
        <v>1447</v>
      </c>
      <c r="E261" s="4" t="n">
        <f aca="false">INDEX(Assumptions!$E$4:$E$8,MATCH($C261,Assumptions!$D$4:$D$8,0))*(1+Assumptions!$B$10)^((YEAR($A261)-2024))</f>
        <v>313.95</v>
      </c>
      <c r="F261" s="4" t="n">
        <f aca="false">D261*E261</f>
        <v>454285.65</v>
      </c>
    </row>
    <row r="262" customFormat="false" ht="15" hidden="false" customHeight="false" outlineLevel="0" collapsed="false">
      <c r="A262" s="2" t="n">
        <v>45809</v>
      </c>
      <c r="B262" s="3" t="s">
        <v>12</v>
      </c>
      <c r="C262" s="0" t="s">
        <v>7</v>
      </c>
      <c r="D262" s="4" t="n">
        <v>2256</v>
      </c>
      <c r="E262" s="4" t="n">
        <f aca="false">INDEX(Assumptions!$E$4:$E$8,MATCH($C262,Assumptions!$D$4:$D$8,0))*(1+Assumptions!$B$10)^((YEAR($A262)-2024))</f>
        <v>135.45</v>
      </c>
      <c r="F262" s="4" t="n">
        <f aca="false">D262*E262</f>
        <v>305575.2</v>
      </c>
    </row>
    <row r="263" customFormat="false" ht="15" hidden="false" customHeight="false" outlineLevel="0" collapsed="false">
      <c r="A263" s="2" t="n">
        <v>45809</v>
      </c>
      <c r="B263" s="3" t="s">
        <v>12</v>
      </c>
      <c r="C263" s="0" t="s">
        <v>8</v>
      </c>
      <c r="D263" s="4" t="n">
        <v>2029</v>
      </c>
      <c r="E263" s="4" t="n">
        <f aca="false">INDEX(Assumptions!$E$4:$E$8,MATCH($C263,Assumptions!$D$4:$D$8,0))*(1+Assumptions!$B$10)^((YEAR($A263)-2024))</f>
        <v>177.45</v>
      </c>
      <c r="F263" s="4" t="n">
        <f aca="false">D263*E263</f>
        <v>360046.05</v>
      </c>
    </row>
    <row r="264" customFormat="false" ht="15" hidden="false" customHeight="false" outlineLevel="0" collapsed="false">
      <c r="A264" s="2" t="n">
        <v>45809</v>
      </c>
      <c r="B264" s="3" t="s">
        <v>12</v>
      </c>
      <c r="C264" s="0" t="s">
        <v>9</v>
      </c>
      <c r="D264" s="4" t="n">
        <v>1653</v>
      </c>
      <c r="E264" s="4" t="n">
        <f aca="false">INDEX(Assumptions!$E$4:$E$8,MATCH($C264,Assumptions!$D$4:$D$8,0))*(1+Assumptions!$B$10)^((YEAR($A264)-2024))</f>
        <v>208.95</v>
      </c>
      <c r="F264" s="4" t="n">
        <f aca="false">D264*E264</f>
        <v>345394.35</v>
      </c>
    </row>
    <row r="265" customFormat="false" ht="15" hidden="false" customHeight="false" outlineLevel="0" collapsed="false">
      <c r="A265" s="2" t="n">
        <v>45809</v>
      </c>
      <c r="B265" s="3" t="s">
        <v>12</v>
      </c>
      <c r="C265" s="0" t="s">
        <v>10</v>
      </c>
      <c r="D265" s="4" t="n">
        <v>1271</v>
      </c>
      <c r="E265" s="4" t="n">
        <f aca="false">INDEX(Assumptions!$E$4:$E$8,MATCH($C265,Assumptions!$D$4:$D$8,0))*(1+Assumptions!$B$10)^((YEAR($A265)-2024))</f>
        <v>261.45</v>
      </c>
      <c r="F265" s="4" t="n">
        <f aca="false">D265*E265</f>
        <v>332302.95</v>
      </c>
    </row>
    <row r="266" customFormat="false" ht="15" hidden="false" customHeight="false" outlineLevel="0" collapsed="false">
      <c r="A266" s="2" t="n">
        <v>45809</v>
      </c>
      <c r="B266" s="3" t="s">
        <v>12</v>
      </c>
      <c r="C266" s="0" t="s">
        <v>11</v>
      </c>
      <c r="D266" s="4" t="n">
        <v>1225</v>
      </c>
      <c r="E266" s="4" t="n">
        <f aca="false">INDEX(Assumptions!$E$4:$E$8,MATCH($C266,Assumptions!$D$4:$D$8,0))*(1+Assumptions!$B$10)^((YEAR($A266)-2024))</f>
        <v>313.95</v>
      </c>
      <c r="F266" s="4" t="n">
        <f aca="false">D266*E266</f>
        <v>384588.75</v>
      </c>
    </row>
    <row r="267" customFormat="false" ht="15" hidden="false" customHeight="false" outlineLevel="0" collapsed="false">
      <c r="A267" s="2" t="n">
        <v>45809</v>
      </c>
      <c r="B267" s="3" t="s">
        <v>13</v>
      </c>
      <c r="C267" s="0" t="s">
        <v>7</v>
      </c>
      <c r="D267" s="4" t="n">
        <v>1933</v>
      </c>
      <c r="E267" s="4" t="n">
        <f aca="false">INDEX(Assumptions!$E$4:$E$8,MATCH($C267,Assumptions!$D$4:$D$8,0))*(1+Assumptions!$B$10)^((YEAR($A267)-2024))</f>
        <v>135.45</v>
      </c>
      <c r="F267" s="4" t="n">
        <f aca="false">D267*E267</f>
        <v>261824.85</v>
      </c>
    </row>
    <row r="268" customFormat="false" ht="15" hidden="false" customHeight="false" outlineLevel="0" collapsed="false">
      <c r="A268" s="2" t="n">
        <v>45809</v>
      </c>
      <c r="B268" s="3" t="s">
        <v>13</v>
      </c>
      <c r="C268" s="0" t="s">
        <v>8</v>
      </c>
      <c r="D268" s="4" t="n">
        <v>1695</v>
      </c>
      <c r="E268" s="4" t="n">
        <f aca="false">INDEX(Assumptions!$E$4:$E$8,MATCH($C268,Assumptions!$D$4:$D$8,0))*(1+Assumptions!$B$10)^((YEAR($A268)-2024))</f>
        <v>177.45</v>
      </c>
      <c r="F268" s="4" t="n">
        <f aca="false">D268*E268</f>
        <v>300777.75</v>
      </c>
    </row>
    <row r="269" customFormat="false" ht="15" hidden="false" customHeight="false" outlineLevel="0" collapsed="false">
      <c r="A269" s="2" t="n">
        <v>45809</v>
      </c>
      <c r="B269" s="3" t="s">
        <v>13</v>
      </c>
      <c r="C269" s="0" t="s">
        <v>9</v>
      </c>
      <c r="D269" s="4" t="n">
        <v>1775</v>
      </c>
      <c r="E269" s="4" t="n">
        <f aca="false">INDEX(Assumptions!$E$4:$E$8,MATCH($C269,Assumptions!$D$4:$D$8,0))*(1+Assumptions!$B$10)^((YEAR($A269)-2024))</f>
        <v>208.95</v>
      </c>
      <c r="F269" s="4" t="n">
        <f aca="false">D269*E269</f>
        <v>370886.25</v>
      </c>
    </row>
    <row r="270" customFormat="false" ht="15" hidden="false" customHeight="false" outlineLevel="0" collapsed="false">
      <c r="A270" s="2" t="n">
        <v>45809</v>
      </c>
      <c r="B270" s="3" t="s">
        <v>13</v>
      </c>
      <c r="C270" s="0" t="s">
        <v>10</v>
      </c>
      <c r="D270" s="4" t="n">
        <v>1334</v>
      </c>
      <c r="E270" s="4" t="n">
        <f aca="false">INDEX(Assumptions!$E$4:$E$8,MATCH($C270,Assumptions!$D$4:$D$8,0))*(1+Assumptions!$B$10)^((YEAR($A270)-2024))</f>
        <v>261.45</v>
      </c>
      <c r="F270" s="4" t="n">
        <f aca="false">D270*E270</f>
        <v>348774.3</v>
      </c>
    </row>
    <row r="271" customFormat="false" ht="15" hidden="false" customHeight="false" outlineLevel="0" collapsed="false">
      <c r="A271" s="2" t="n">
        <v>45809</v>
      </c>
      <c r="B271" s="3" t="s">
        <v>13</v>
      </c>
      <c r="C271" s="0" t="s">
        <v>11</v>
      </c>
      <c r="D271" s="4" t="n">
        <v>854</v>
      </c>
      <c r="E271" s="4" t="n">
        <f aca="false">INDEX(Assumptions!$E$4:$E$8,MATCH($C271,Assumptions!$D$4:$D$8,0))*(1+Assumptions!$B$10)^((YEAR($A271)-2024))</f>
        <v>313.95</v>
      </c>
      <c r="F271" s="4" t="n">
        <f aca="false">D271*E271</f>
        <v>268113.3</v>
      </c>
    </row>
    <row r="272" customFormat="false" ht="15" hidden="false" customHeight="false" outlineLevel="0" collapsed="false">
      <c r="A272" s="2" t="n">
        <v>45839</v>
      </c>
      <c r="B272" s="3" t="s">
        <v>6</v>
      </c>
      <c r="C272" s="0" t="s">
        <v>7</v>
      </c>
      <c r="D272" s="4" t="n">
        <v>2266</v>
      </c>
      <c r="E272" s="4" t="n">
        <f aca="false">INDEX(Assumptions!$E$4:$E$8,MATCH($C272,Assumptions!$D$4:$D$8,0))*(1+Assumptions!$B$10)^((YEAR($A272)-2024))</f>
        <v>135.45</v>
      </c>
      <c r="F272" s="4" t="n">
        <f aca="false">D272*E272</f>
        <v>306929.7</v>
      </c>
    </row>
    <row r="273" customFormat="false" ht="15" hidden="false" customHeight="false" outlineLevel="0" collapsed="false">
      <c r="A273" s="2" t="n">
        <v>45839</v>
      </c>
      <c r="B273" s="3" t="s">
        <v>6</v>
      </c>
      <c r="C273" s="0" t="s">
        <v>8</v>
      </c>
      <c r="D273" s="4" t="n">
        <v>1750</v>
      </c>
      <c r="E273" s="4" t="n">
        <f aca="false">INDEX(Assumptions!$E$4:$E$8,MATCH($C273,Assumptions!$D$4:$D$8,0))*(1+Assumptions!$B$10)^((YEAR($A273)-2024))</f>
        <v>177.45</v>
      </c>
      <c r="F273" s="4" t="n">
        <f aca="false">D273*E273</f>
        <v>310537.5</v>
      </c>
    </row>
    <row r="274" customFormat="false" ht="15" hidden="false" customHeight="false" outlineLevel="0" collapsed="false">
      <c r="A274" s="2" t="n">
        <v>45839</v>
      </c>
      <c r="B274" s="3" t="s">
        <v>6</v>
      </c>
      <c r="C274" s="0" t="s">
        <v>9</v>
      </c>
      <c r="D274" s="4" t="n">
        <v>1845</v>
      </c>
      <c r="E274" s="4" t="n">
        <f aca="false">INDEX(Assumptions!$E$4:$E$8,MATCH($C274,Assumptions!$D$4:$D$8,0))*(1+Assumptions!$B$10)^((YEAR($A274)-2024))</f>
        <v>208.95</v>
      </c>
      <c r="F274" s="4" t="n">
        <f aca="false">D274*E274</f>
        <v>385512.75</v>
      </c>
    </row>
    <row r="275" customFormat="false" ht="15" hidden="false" customHeight="false" outlineLevel="0" collapsed="false">
      <c r="A275" s="2" t="n">
        <v>45839</v>
      </c>
      <c r="B275" s="3" t="s">
        <v>6</v>
      </c>
      <c r="C275" s="0" t="s">
        <v>10</v>
      </c>
      <c r="D275" s="4" t="n">
        <v>1639</v>
      </c>
      <c r="E275" s="4" t="n">
        <f aca="false">INDEX(Assumptions!$E$4:$E$8,MATCH($C275,Assumptions!$D$4:$D$8,0))*(1+Assumptions!$B$10)^((YEAR($A275)-2024))</f>
        <v>261.45</v>
      </c>
      <c r="F275" s="4" t="n">
        <f aca="false">D275*E275</f>
        <v>428516.55</v>
      </c>
    </row>
    <row r="276" customFormat="false" ht="15" hidden="false" customHeight="false" outlineLevel="0" collapsed="false">
      <c r="A276" s="2" t="n">
        <v>45839</v>
      </c>
      <c r="B276" s="3" t="s">
        <v>6</v>
      </c>
      <c r="C276" s="0" t="s">
        <v>11</v>
      </c>
      <c r="D276" s="4" t="n">
        <v>1013</v>
      </c>
      <c r="E276" s="4" t="n">
        <f aca="false">INDEX(Assumptions!$E$4:$E$8,MATCH($C276,Assumptions!$D$4:$D$8,0))*(1+Assumptions!$B$10)^((YEAR($A276)-2024))</f>
        <v>313.95</v>
      </c>
      <c r="F276" s="4" t="n">
        <f aca="false">D276*E276</f>
        <v>318031.35</v>
      </c>
    </row>
    <row r="277" customFormat="false" ht="15" hidden="false" customHeight="false" outlineLevel="0" collapsed="false">
      <c r="A277" s="2" t="n">
        <v>45839</v>
      </c>
      <c r="B277" s="3" t="s">
        <v>12</v>
      </c>
      <c r="C277" s="0" t="s">
        <v>7</v>
      </c>
      <c r="D277" s="4" t="n">
        <v>1592</v>
      </c>
      <c r="E277" s="4" t="n">
        <f aca="false">INDEX(Assumptions!$E$4:$E$8,MATCH($C277,Assumptions!$D$4:$D$8,0))*(1+Assumptions!$B$10)^((YEAR($A277)-2024))</f>
        <v>135.45</v>
      </c>
      <c r="F277" s="4" t="n">
        <f aca="false">D277*E277</f>
        <v>215636.4</v>
      </c>
    </row>
    <row r="278" customFormat="false" ht="15" hidden="false" customHeight="false" outlineLevel="0" collapsed="false">
      <c r="A278" s="2" t="n">
        <v>45839</v>
      </c>
      <c r="B278" s="3" t="s">
        <v>12</v>
      </c>
      <c r="C278" s="0" t="s">
        <v>8</v>
      </c>
      <c r="D278" s="4" t="n">
        <v>1429</v>
      </c>
      <c r="E278" s="4" t="n">
        <f aca="false">INDEX(Assumptions!$E$4:$E$8,MATCH($C278,Assumptions!$D$4:$D$8,0))*(1+Assumptions!$B$10)^((YEAR($A278)-2024))</f>
        <v>177.45</v>
      </c>
      <c r="F278" s="4" t="n">
        <f aca="false">D278*E278</f>
        <v>253576.05</v>
      </c>
    </row>
    <row r="279" customFormat="false" ht="15" hidden="false" customHeight="false" outlineLevel="0" collapsed="false">
      <c r="A279" s="2" t="n">
        <v>45839</v>
      </c>
      <c r="B279" s="3" t="s">
        <v>12</v>
      </c>
      <c r="C279" s="0" t="s">
        <v>9</v>
      </c>
      <c r="D279" s="4" t="n">
        <v>1554</v>
      </c>
      <c r="E279" s="4" t="n">
        <f aca="false">INDEX(Assumptions!$E$4:$E$8,MATCH($C279,Assumptions!$D$4:$D$8,0))*(1+Assumptions!$B$10)^((YEAR($A279)-2024))</f>
        <v>208.95</v>
      </c>
      <c r="F279" s="4" t="n">
        <f aca="false">D279*E279</f>
        <v>324708.3</v>
      </c>
    </row>
    <row r="280" customFormat="false" ht="15" hidden="false" customHeight="false" outlineLevel="0" collapsed="false">
      <c r="A280" s="2" t="n">
        <v>45839</v>
      </c>
      <c r="B280" s="3" t="s">
        <v>12</v>
      </c>
      <c r="C280" s="0" t="s">
        <v>10</v>
      </c>
      <c r="D280" s="4" t="n">
        <v>1173</v>
      </c>
      <c r="E280" s="4" t="n">
        <f aca="false">INDEX(Assumptions!$E$4:$E$8,MATCH($C280,Assumptions!$D$4:$D$8,0))*(1+Assumptions!$B$10)^((YEAR($A280)-2024))</f>
        <v>261.45</v>
      </c>
      <c r="F280" s="4" t="n">
        <f aca="false">D280*E280</f>
        <v>306680.85</v>
      </c>
    </row>
    <row r="281" customFormat="false" ht="15" hidden="false" customHeight="false" outlineLevel="0" collapsed="false">
      <c r="A281" s="2" t="n">
        <v>45839</v>
      </c>
      <c r="B281" s="3" t="s">
        <v>12</v>
      </c>
      <c r="C281" s="0" t="s">
        <v>11</v>
      </c>
      <c r="D281" s="4" t="n">
        <v>1021</v>
      </c>
      <c r="E281" s="4" t="n">
        <f aca="false">INDEX(Assumptions!$E$4:$E$8,MATCH($C281,Assumptions!$D$4:$D$8,0))*(1+Assumptions!$B$10)^((YEAR($A281)-2024))</f>
        <v>313.95</v>
      </c>
      <c r="F281" s="4" t="n">
        <f aca="false">D281*E281</f>
        <v>320542.95</v>
      </c>
    </row>
    <row r="282" customFormat="false" ht="15" hidden="false" customHeight="false" outlineLevel="0" collapsed="false">
      <c r="A282" s="2" t="n">
        <v>45839</v>
      </c>
      <c r="B282" s="3" t="s">
        <v>13</v>
      </c>
      <c r="C282" s="0" t="s">
        <v>7</v>
      </c>
      <c r="D282" s="4" t="n">
        <v>1725</v>
      </c>
      <c r="E282" s="4" t="n">
        <f aca="false">INDEX(Assumptions!$E$4:$E$8,MATCH($C282,Assumptions!$D$4:$D$8,0))*(1+Assumptions!$B$10)^((YEAR($A282)-2024))</f>
        <v>135.45</v>
      </c>
      <c r="F282" s="4" t="n">
        <f aca="false">D282*E282</f>
        <v>233651.25</v>
      </c>
    </row>
    <row r="283" customFormat="false" ht="15" hidden="false" customHeight="false" outlineLevel="0" collapsed="false">
      <c r="A283" s="2" t="n">
        <v>45839</v>
      </c>
      <c r="B283" s="3" t="s">
        <v>13</v>
      </c>
      <c r="C283" s="0" t="s">
        <v>8</v>
      </c>
      <c r="D283" s="4" t="n">
        <v>1328</v>
      </c>
      <c r="E283" s="4" t="n">
        <f aca="false">INDEX(Assumptions!$E$4:$E$8,MATCH($C283,Assumptions!$D$4:$D$8,0))*(1+Assumptions!$B$10)^((YEAR($A283)-2024))</f>
        <v>177.45</v>
      </c>
      <c r="F283" s="4" t="n">
        <f aca="false">D283*E283</f>
        <v>235653.6</v>
      </c>
    </row>
    <row r="284" customFormat="false" ht="15" hidden="false" customHeight="false" outlineLevel="0" collapsed="false">
      <c r="A284" s="2" t="n">
        <v>45839</v>
      </c>
      <c r="B284" s="3" t="s">
        <v>13</v>
      </c>
      <c r="C284" s="0" t="s">
        <v>9</v>
      </c>
      <c r="D284" s="4" t="n">
        <v>1432</v>
      </c>
      <c r="E284" s="4" t="n">
        <f aca="false">INDEX(Assumptions!$E$4:$E$8,MATCH($C284,Assumptions!$D$4:$D$8,0))*(1+Assumptions!$B$10)^((YEAR($A284)-2024))</f>
        <v>208.95</v>
      </c>
      <c r="F284" s="4" t="n">
        <f aca="false">D284*E284</f>
        <v>299216.4</v>
      </c>
    </row>
    <row r="285" customFormat="false" ht="15" hidden="false" customHeight="false" outlineLevel="0" collapsed="false">
      <c r="A285" s="2" t="n">
        <v>45839</v>
      </c>
      <c r="B285" s="3" t="s">
        <v>13</v>
      </c>
      <c r="C285" s="0" t="s">
        <v>10</v>
      </c>
      <c r="D285" s="4" t="n">
        <v>1053</v>
      </c>
      <c r="E285" s="4" t="n">
        <f aca="false">INDEX(Assumptions!$E$4:$E$8,MATCH($C285,Assumptions!$D$4:$D$8,0))*(1+Assumptions!$B$10)^((YEAR($A285)-2024))</f>
        <v>261.45</v>
      </c>
      <c r="F285" s="4" t="n">
        <f aca="false">D285*E285</f>
        <v>275306.85</v>
      </c>
    </row>
    <row r="286" customFormat="false" ht="15" hidden="false" customHeight="false" outlineLevel="0" collapsed="false">
      <c r="A286" s="2" t="n">
        <v>45839</v>
      </c>
      <c r="B286" s="3" t="s">
        <v>13</v>
      </c>
      <c r="C286" s="0" t="s">
        <v>11</v>
      </c>
      <c r="D286" s="4" t="n">
        <v>887</v>
      </c>
      <c r="E286" s="4" t="n">
        <f aca="false">INDEX(Assumptions!$E$4:$E$8,MATCH($C286,Assumptions!$D$4:$D$8,0))*(1+Assumptions!$B$10)^((YEAR($A286)-2024))</f>
        <v>313.95</v>
      </c>
      <c r="F286" s="4" t="n">
        <f aca="false">D286*E286</f>
        <v>278473.65</v>
      </c>
    </row>
    <row r="287" customFormat="false" ht="15" hidden="false" customHeight="false" outlineLevel="0" collapsed="false">
      <c r="A287" s="2" t="n">
        <v>45870</v>
      </c>
      <c r="B287" s="3" t="s">
        <v>6</v>
      </c>
      <c r="C287" s="0" t="s">
        <v>7</v>
      </c>
      <c r="D287" s="4" t="n">
        <v>2031</v>
      </c>
      <c r="E287" s="4" t="n">
        <f aca="false">INDEX(Assumptions!$E$4:$E$8,MATCH($C287,Assumptions!$D$4:$D$8,0))*(1+Assumptions!$B$10)^((YEAR($A287)-2024))</f>
        <v>135.45</v>
      </c>
      <c r="F287" s="4" t="n">
        <f aca="false">D287*E287</f>
        <v>275098.95</v>
      </c>
    </row>
    <row r="288" customFormat="false" ht="15" hidden="false" customHeight="false" outlineLevel="0" collapsed="false">
      <c r="A288" s="2" t="n">
        <v>45870</v>
      </c>
      <c r="B288" s="3" t="s">
        <v>6</v>
      </c>
      <c r="C288" s="0" t="s">
        <v>8</v>
      </c>
      <c r="D288" s="4" t="n">
        <v>1799</v>
      </c>
      <c r="E288" s="4" t="n">
        <f aca="false">INDEX(Assumptions!$E$4:$E$8,MATCH($C288,Assumptions!$D$4:$D$8,0))*(1+Assumptions!$B$10)^((YEAR($A288)-2024))</f>
        <v>177.45</v>
      </c>
      <c r="F288" s="4" t="n">
        <f aca="false">D288*E288</f>
        <v>319232.55</v>
      </c>
    </row>
    <row r="289" customFormat="false" ht="15" hidden="false" customHeight="false" outlineLevel="0" collapsed="false">
      <c r="A289" s="2" t="n">
        <v>45870</v>
      </c>
      <c r="B289" s="3" t="s">
        <v>6</v>
      </c>
      <c r="C289" s="0" t="s">
        <v>9</v>
      </c>
      <c r="D289" s="4" t="n">
        <v>1351</v>
      </c>
      <c r="E289" s="4" t="n">
        <f aca="false">INDEX(Assumptions!$E$4:$E$8,MATCH($C289,Assumptions!$D$4:$D$8,0))*(1+Assumptions!$B$10)^((YEAR($A289)-2024))</f>
        <v>208.95</v>
      </c>
      <c r="F289" s="4" t="n">
        <f aca="false">D289*E289</f>
        <v>282291.45</v>
      </c>
    </row>
    <row r="290" customFormat="false" ht="15" hidden="false" customHeight="false" outlineLevel="0" collapsed="false">
      <c r="A290" s="2" t="n">
        <v>45870</v>
      </c>
      <c r="B290" s="3" t="s">
        <v>6</v>
      </c>
      <c r="C290" s="0" t="s">
        <v>10</v>
      </c>
      <c r="D290" s="4" t="n">
        <v>1238</v>
      </c>
      <c r="E290" s="4" t="n">
        <f aca="false">INDEX(Assumptions!$E$4:$E$8,MATCH($C290,Assumptions!$D$4:$D$8,0))*(1+Assumptions!$B$10)^((YEAR($A290)-2024))</f>
        <v>261.45</v>
      </c>
      <c r="F290" s="4" t="n">
        <f aca="false">D290*E290</f>
        <v>323675.1</v>
      </c>
    </row>
    <row r="291" customFormat="false" ht="15" hidden="false" customHeight="false" outlineLevel="0" collapsed="false">
      <c r="A291" s="2" t="n">
        <v>45870</v>
      </c>
      <c r="B291" s="3" t="s">
        <v>6</v>
      </c>
      <c r="C291" s="0" t="s">
        <v>11</v>
      </c>
      <c r="D291" s="4" t="n">
        <v>929</v>
      </c>
      <c r="E291" s="4" t="n">
        <f aca="false">INDEX(Assumptions!$E$4:$E$8,MATCH($C291,Assumptions!$D$4:$D$8,0))*(1+Assumptions!$B$10)^((YEAR($A291)-2024))</f>
        <v>313.95</v>
      </c>
      <c r="F291" s="4" t="n">
        <f aca="false">D291*E291</f>
        <v>291659.55</v>
      </c>
    </row>
    <row r="292" customFormat="false" ht="15" hidden="false" customHeight="false" outlineLevel="0" collapsed="false">
      <c r="A292" s="2" t="n">
        <v>45870</v>
      </c>
      <c r="B292" s="3" t="s">
        <v>12</v>
      </c>
      <c r="C292" s="0" t="s">
        <v>7</v>
      </c>
      <c r="D292" s="4" t="n">
        <v>1340</v>
      </c>
      <c r="E292" s="4" t="n">
        <f aca="false">INDEX(Assumptions!$E$4:$E$8,MATCH($C292,Assumptions!$D$4:$D$8,0))*(1+Assumptions!$B$10)^((YEAR($A292)-2024))</f>
        <v>135.45</v>
      </c>
      <c r="F292" s="4" t="n">
        <f aca="false">D292*E292</f>
        <v>181503</v>
      </c>
    </row>
    <row r="293" customFormat="false" ht="15" hidden="false" customHeight="false" outlineLevel="0" collapsed="false">
      <c r="A293" s="2" t="n">
        <v>45870</v>
      </c>
      <c r="B293" s="3" t="s">
        <v>12</v>
      </c>
      <c r="C293" s="0" t="s">
        <v>8</v>
      </c>
      <c r="D293" s="4" t="n">
        <v>1532</v>
      </c>
      <c r="E293" s="4" t="n">
        <f aca="false">INDEX(Assumptions!$E$4:$E$8,MATCH($C293,Assumptions!$D$4:$D$8,0))*(1+Assumptions!$B$10)^((YEAR($A293)-2024))</f>
        <v>177.45</v>
      </c>
      <c r="F293" s="4" t="n">
        <f aca="false">D293*E293</f>
        <v>271853.4</v>
      </c>
    </row>
    <row r="294" customFormat="false" ht="15" hidden="false" customHeight="false" outlineLevel="0" collapsed="false">
      <c r="A294" s="2" t="n">
        <v>45870</v>
      </c>
      <c r="B294" s="3" t="s">
        <v>12</v>
      </c>
      <c r="C294" s="0" t="s">
        <v>9</v>
      </c>
      <c r="D294" s="4" t="n">
        <v>1393</v>
      </c>
      <c r="E294" s="4" t="n">
        <f aca="false">INDEX(Assumptions!$E$4:$E$8,MATCH($C294,Assumptions!$D$4:$D$8,0))*(1+Assumptions!$B$10)^((YEAR($A294)-2024))</f>
        <v>208.95</v>
      </c>
      <c r="F294" s="4" t="n">
        <f aca="false">D294*E294</f>
        <v>291067.35</v>
      </c>
    </row>
    <row r="295" customFormat="false" ht="15" hidden="false" customHeight="false" outlineLevel="0" collapsed="false">
      <c r="A295" s="2" t="n">
        <v>45870</v>
      </c>
      <c r="B295" s="3" t="s">
        <v>12</v>
      </c>
      <c r="C295" s="0" t="s">
        <v>10</v>
      </c>
      <c r="D295" s="4" t="n">
        <v>1023</v>
      </c>
      <c r="E295" s="4" t="n">
        <f aca="false">INDEX(Assumptions!$E$4:$E$8,MATCH($C295,Assumptions!$D$4:$D$8,0))*(1+Assumptions!$B$10)^((YEAR($A295)-2024))</f>
        <v>261.45</v>
      </c>
      <c r="F295" s="4" t="n">
        <f aca="false">D295*E295</f>
        <v>267463.35</v>
      </c>
    </row>
    <row r="296" customFormat="false" ht="15" hidden="false" customHeight="false" outlineLevel="0" collapsed="false">
      <c r="A296" s="2" t="n">
        <v>45870</v>
      </c>
      <c r="B296" s="3" t="s">
        <v>12</v>
      </c>
      <c r="C296" s="0" t="s">
        <v>11</v>
      </c>
      <c r="D296" s="4" t="n">
        <v>928</v>
      </c>
      <c r="E296" s="4" t="n">
        <f aca="false">INDEX(Assumptions!$E$4:$E$8,MATCH($C296,Assumptions!$D$4:$D$8,0))*(1+Assumptions!$B$10)^((YEAR($A296)-2024))</f>
        <v>313.95</v>
      </c>
      <c r="F296" s="4" t="n">
        <f aca="false">D296*E296</f>
        <v>291345.6</v>
      </c>
    </row>
    <row r="297" customFormat="false" ht="15" hidden="false" customHeight="false" outlineLevel="0" collapsed="false">
      <c r="A297" s="2" t="n">
        <v>45870</v>
      </c>
      <c r="B297" s="3" t="s">
        <v>13</v>
      </c>
      <c r="C297" s="0" t="s">
        <v>7</v>
      </c>
      <c r="D297" s="4" t="n">
        <v>1439</v>
      </c>
      <c r="E297" s="4" t="n">
        <f aca="false">INDEX(Assumptions!$E$4:$E$8,MATCH($C297,Assumptions!$D$4:$D$8,0))*(1+Assumptions!$B$10)^((YEAR($A297)-2024))</f>
        <v>135.45</v>
      </c>
      <c r="F297" s="4" t="n">
        <f aca="false">D297*E297</f>
        <v>194912.55</v>
      </c>
    </row>
    <row r="298" customFormat="false" ht="15" hidden="false" customHeight="false" outlineLevel="0" collapsed="false">
      <c r="A298" s="2" t="n">
        <v>45870</v>
      </c>
      <c r="B298" s="3" t="s">
        <v>13</v>
      </c>
      <c r="C298" s="0" t="s">
        <v>8</v>
      </c>
      <c r="D298" s="4" t="n">
        <v>1248</v>
      </c>
      <c r="E298" s="4" t="n">
        <f aca="false">INDEX(Assumptions!$E$4:$E$8,MATCH($C298,Assumptions!$D$4:$D$8,0))*(1+Assumptions!$B$10)^((YEAR($A298)-2024))</f>
        <v>177.45</v>
      </c>
      <c r="F298" s="4" t="n">
        <f aca="false">D298*E298</f>
        <v>221457.6</v>
      </c>
    </row>
    <row r="299" customFormat="false" ht="15" hidden="false" customHeight="false" outlineLevel="0" collapsed="false">
      <c r="A299" s="2" t="n">
        <v>45870</v>
      </c>
      <c r="B299" s="3" t="s">
        <v>13</v>
      </c>
      <c r="C299" s="0" t="s">
        <v>9</v>
      </c>
      <c r="D299" s="4" t="n">
        <v>1027</v>
      </c>
      <c r="E299" s="4" t="n">
        <f aca="false">INDEX(Assumptions!$E$4:$E$8,MATCH($C299,Assumptions!$D$4:$D$8,0))*(1+Assumptions!$B$10)^((YEAR($A299)-2024))</f>
        <v>208.95</v>
      </c>
      <c r="F299" s="4" t="n">
        <f aca="false">D299*E299</f>
        <v>214591.65</v>
      </c>
    </row>
    <row r="300" customFormat="false" ht="15" hidden="false" customHeight="false" outlineLevel="0" collapsed="false">
      <c r="A300" s="2" t="n">
        <v>45870</v>
      </c>
      <c r="B300" s="3" t="s">
        <v>13</v>
      </c>
      <c r="C300" s="0" t="s">
        <v>10</v>
      </c>
      <c r="D300" s="4" t="n">
        <v>865</v>
      </c>
      <c r="E300" s="4" t="n">
        <f aca="false">INDEX(Assumptions!$E$4:$E$8,MATCH($C300,Assumptions!$D$4:$D$8,0))*(1+Assumptions!$B$10)^((YEAR($A300)-2024))</f>
        <v>261.45</v>
      </c>
      <c r="F300" s="4" t="n">
        <f aca="false">D300*E300</f>
        <v>226154.25</v>
      </c>
    </row>
    <row r="301" customFormat="false" ht="15" hidden="false" customHeight="false" outlineLevel="0" collapsed="false">
      <c r="A301" s="2" t="n">
        <v>45870</v>
      </c>
      <c r="B301" s="3" t="s">
        <v>13</v>
      </c>
      <c r="C301" s="0" t="s">
        <v>11</v>
      </c>
      <c r="D301" s="4" t="n">
        <v>869</v>
      </c>
      <c r="E301" s="4" t="n">
        <f aca="false">INDEX(Assumptions!$E$4:$E$8,MATCH($C301,Assumptions!$D$4:$D$8,0))*(1+Assumptions!$B$10)^((YEAR($A301)-2024))</f>
        <v>313.95</v>
      </c>
      <c r="F301" s="4" t="n">
        <f aca="false">D301*E301</f>
        <v>272822.55</v>
      </c>
    </row>
    <row r="302" customFormat="false" ht="15" hidden="false" customHeight="false" outlineLevel="0" collapsed="false">
      <c r="A302" s="2" t="n">
        <v>45931</v>
      </c>
      <c r="B302" s="3" t="s">
        <v>6</v>
      </c>
      <c r="C302" s="0" t="s">
        <v>7</v>
      </c>
      <c r="D302" s="4" t="n">
        <v>1818</v>
      </c>
      <c r="E302" s="4" t="n">
        <f aca="false">INDEX(Assumptions!$E$4:$E$8,MATCH($C302,Assumptions!$D$4:$D$8,0))*(1+Assumptions!$B$10)^((YEAR($A302)-2024))</f>
        <v>135.45</v>
      </c>
      <c r="F302" s="4" t="n">
        <f aca="false">D302*E302</f>
        <v>246248.1</v>
      </c>
    </row>
    <row r="303" customFormat="false" ht="15" hidden="false" customHeight="false" outlineLevel="0" collapsed="false">
      <c r="A303" s="2" t="n">
        <v>45931</v>
      </c>
      <c r="B303" s="3" t="s">
        <v>6</v>
      </c>
      <c r="C303" s="0" t="s">
        <v>8</v>
      </c>
      <c r="D303" s="4" t="n">
        <v>1479</v>
      </c>
      <c r="E303" s="4" t="n">
        <f aca="false">INDEX(Assumptions!$E$4:$E$8,MATCH($C303,Assumptions!$D$4:$D$8,0))*(1+Assumptions!$B$10)^((YEAR($A303)-2024))</f>
        <v>177.45</v>
      </c>
      <c r="F303" s="4" t="n">
        <f aca="false">D303*E303</f>
        <v>262448.55</v>
      </c>
    </row>
    <row r="304" customFormat="false" ht="15" hidden="false" customHeight="false" outlineLevel="0" collapsed="false">
      <c r="A304" s="2" t="n">
        <v>45931</v>
      </c>
      <c r="B304" s="3" t="s">
        <v>6</v>
      </c>
      <c r="C304" s="0" t="s">
        <v>9</v>
      </c>
      <c r="D304" s="4" t="n">
        <v>1516</v>
      </c>
      <c r="E304" s="4" t="n">
        <f aca="false">INDEX(Assumptions!$E$4:$E$8,MATCH($C304,Assumptions!$D$4:$D$8,0))*(1+Assumptions!$B$10)^((YEAR($A304)-2024))</f>
        <v>208.95</v>
      </c>
      <c r="F304" s="4" t="n">
        <f aca="false">D304*E304</f>
        <v>316768.2</v>
      </c>
    </row>
    <row r="305" customFormat="false" ht="15" hidden="false" customHeight="false" outlineLevel="0" collapsed="false">
      <c r="A305" s="2" t="n">
        <v>45931</v>
      </c>
      <c r="B305" s="3" t="s">
        <v>6</v>
      </c>
      <c r="C305" s="0" t="s">
        <v>10</v>
      </c>
      <c r="D305" s="4" t="n">
        <v>1163</v>
      </c>
      <c r="E305" s="4" t="n">
        <f aca="false">INDEX(Assumptions!$E$4:$E$8,MATCH($C305,Assumptions!$D$4:$D$8,0))*(1+Assumptions!$B$10)^((YEAR($A305)-2024))</f>
        <v>261.45</v>
      </c>
      <c r="F305" s="4" t="n">
        <f aca="false">D305*E305</f>
        <v>304066.35</v>
      </c>
    </row>
    <row r="306" customFormat="false" ht="15" hidden="false" customHeight="false" outlineLevel="0" collapsed="false">
      <c r="A306" s="2" t="n">
        <v>45931</v>
      </c>
      <c r="B306" s="3" t="s">
        <v>6</v>
      </c>
      <c r="C306" s="0" t="s">
        <v>11</v>
      </c>
      <c r="D306" s="4" t="n">
        <v>797</v>
      </c>
      <c r="E306" s="4" t="n">
        <f aca="false">INDEX(Assumptions!$E$4:$E$8,MATCH($C306,Assumptions!$D$4:$D$8,0))*(1+Assumptions!$B$10)^((YEAR($A306)-2024))</f>
        <v>313.95</v>
      </c>
      <c r="F306" s="4" t="n">
        <f aca="false">D306*E306</f>
        <v>250218.15</v>
      </c>
    </row>
    <row r="307" customFormat="false" ht="15" hidden="false" customHeight="false" outlineLevel="0" collapsed="false">
      <c r="A307" s="2" t="n">
        <v>45931</v>
      </c>
      <c r="B307" s="3" t="s">
        <v>12</v>
      </c>
      <c r="C307" s="0" t="s">
        <v>7</v>
      </c>
      <c r="D307" s="4" t="n">
        <v>1252</v>
      </c>
      <c r="E307" s="4" t="n">
        <f aca="false">INDEX(Assumptions!$E$4:$E$8,MATCH($C307,Assumptions!$D$4:$D$8,0))*(1+Assumptions!$B$10)^((YEAR($A307)-2024))</f>
        <v>135.45</v>
      </c>
      <c r="F307" s="4" t="n">
        <f aca="false">D307*E307</f>
        <v>169583.4</v>
      </c>
    </row>
    <row r="308" customFormat="false" ht="15" hidden="false" customHeight="false" outlineLevel="0" collapsed="false">
      <c r="A308" s="2" t="n">
        <v>45931</v>
      </c>
      <c r="B308" s="3" t="s">
        <v>12</v>
      </c>
      <c r="C308" s="0" t="s">
        <v>8</v>
      </c>
      <c r="D308" s="4" t="n">
        <v>1196</v>
      </c>
      <c r="E308" s="4" t="n">
        <f aca="false">INDEX(Assumptions!$E$4:$E$8,MATCH($C308,Assumptions!$D$4:$D$8,0))*(1+Assumptions!$B$10)^((YEAR($A308)-2024))</f>
        <v>177.45</v>
      </c>
      <c r="F308" s="4" t="n">
        <f aca="false">D308*E308</f>
        <v>212230.2</v>
      </c>
    </row>
    <row r="309" customFormat="false" ht="15" hidden="false" customHeight="false" outlineLevel="0" collapsed="false">
      <c r="A309" s="2" t="n">
        <v>45931</v>
      </c>
      <c r="B309" s="3" t="s">
        <v>12</v>
      </c>
      <c r="C309" s="0" t="s">
        <v>9</v>
      </c>
      <c r="D309" s="4" t="n">
        <v>1342</v>
      </c>
      <c r="E309" s="4" t="n">
        <f aca="false">INDEX(Assumptions!$E$4:$E$8,MATCH($C309,Assumptions!$D$4:$D$8,0))*(1+Assumptions!$B$10)^((YEAR($A309)-2024))</f>
        <v>208.95</v>
      </c>
      <c r="F309" s="4" t="n">
        <f aca="false">D309*E309</f>
        <v>280410.9</v>
      </c>
    </row>
    <row r="310" customFormat="false" ht="15" hidden="false" customHeight="false" outlineLevel="0" collapsed="false">
      <c r="A310" s="2" t="n">
        <v>45931</v>
      </c>
      <c r="B310" s="3" t="s">
        <v>12</v>
      </c>
      <c r="C310" s="0" t="s">
        <v>10</v>
      </c>
      <c r="D310" s="4" t="n">
        <v>1074</v>
      </c>
      <c r="E310" s="4" t="n">
        <f aca="false">INDEX(Assumptions!$E$4:$E$8,MATCH($C310,Assumptions!$D$4:$D$8,0))*(1+Assumptions!$B$10)^((YEAR($A310)-2024))</f>
        <v>261.45</v>
      </c>
      <c r="F310" s="4" t="n">
        <f aca="false">D310*E310</f>
        <v>280797.3</v>
      </c>
    </row>
    <row r="311" customFormat="false" ht="15" hidden="false" customHeight="false" outlineLevel="0" collapsed="false">
      <c r="A311" s="2" t="n">
        <v>45931</v>
      </c>
      <c r="B311" s="3" t="s">
        <v>12</v>
      </c>
      <c r="C311" s="0" t="s">
        <v>11</v>
      </c>
      <c r="D311" s="4" t="n">
        <v>859</v>
      </c>
      <c r="E311" s="4" t="n">
        <f aca="false">INDEX(Assumptions!$E$4:$E$8,MATCH($C311,Assumptions!$D$4:$D$8,0))*(1+Assumptions!$B$10)^((YEAR($A311)-2024))</f>
        <v>313.95</v>
      </c>
      <c r="F311" s="4" t="n">
        <f aca="false">D311*E311</f>
        <v>269683.05</v>
      </c>
    </row>
    <row r="312" customFormat="false" ht="15" hidden="false" customHeight="false" outlineLevel="0" collapsed="false">
      <c r="A312" s="2" t="n">
        <v>45931</v>
      </c>
      <c r="B312" s="3" t="s">
        <v>13</v>
      </c>
      <c r="C312" s="0" t="s">
        <v>7</v>
      </c>
      <c r="D312" s="4" t="n">
        <v>1421</v>
      </c>
      <c r="E312" s="4" t="n">
        <f aca="false">INDEX(Assumptions!$E$4:$E$8,MATCH($C312,Assumptions!$D$4:$D$8,0))*(1+Assumptions!$B$10)^((YEAR($A312)-2024))</f>
        <v>135.45</v>
      </c>
      <c r="F312" s="4" t="n">
        <f aca="false">D312*E312</f>
        <v>192474.45</v>
      </c>
    </row>
    <row r="313" customFormat="false" ht="15" hidden="false" customHeight="false" outlineLevel="0" collapsed="false">
      <c r="A313" s="2" t="n">
        <v>45931</v>
      </c>
      <c r="B313" s="3" t="s">
        <v>13</v>
      </c>
      <c r="C313" s="0" t="s">
        <v>8</v>
      </c>
      <c r="D313" s="4" t="n">
        <v>1042</v>
      </c>
      <c r="E313" s="4" t="n">
        <f aca="false">INDEX(Assumptions!$E$4:$E$8,MATCH($C313,Assumptions!$D$4:$D$8,0))*(1+Assumptions!$B$10)^((YEAR($A313)-2024))</f>
        <v>177.45</v>
      </c>
      <c r="F313" s="4" t="n">
        <f aca="false">D313*E313</f>
        <v>184902.9</v>
      </c>
    </row>
    <row r="314" customFormat="false" ht="15" hidden="false" customHeight="false" outlineLevel="0" collapsed="false">
      <c r="A314" s="2" t="n">
        <v>45931</v>
      </c>
      <c r="B314" s="3" t="s">
        <v>13</v>
      </c>
      <c r="C314" s="0" t="s">
        <v>9</v>
      </c>
      <c r="D314" s="4" t="n">
        <v>997</v>
      </c>
      <c r="E314" s="4" t="n">
        <f aca="false">INDEX(Assumptions!$E$4:$E$8,MATCH($C314,Assumptions!$D$4:$D$8,0))*(1+Assumptions!$B$10)^((YEAR($A314)-2024))</f>
        <v>208.95</v>
      </c>
      <c r="F314" s="4" t="n">
        <f aca="false">D314*E314</f>
        <v>208323.15</v>
      </c>
    </row>
    <row r="315" customFormat="false" ht="15" hidden="false" customHeight="false" outlineLevel="0" collapsed="false">
      <c r="A315" s="2" t="n">
        <v>45931</v>
      </c>
      <c r="B315" s="3" t="s">
        <v>13</v>
      </c>
      <c r="C315" s="0" t="s">
        <v>10</v>
      </c>
      <c r="D315" s="4" t="n">
        <v>782</v>
      </c>
      <c r="E315" s="4" t="n">
        <f aca="false">INDEX(Assumptions!$E$4:$E$8,MATCH($C315,Assumptions!$D$4:$D$8,0))*(1+Assumptions!$B$10)^((YEAR($A315)-2024))</f>
        <v>261.45</v>
      </c>
      <c r="F315" s="4" t="n">
        <f aca="false">D315*E315</f>
        <v>204453.9</v>
      </c>
    </row>
    <row r="316" customFormat="false" ht="15" hidden="false" customHeight="false" outlineLevel="0" collapsed="false">
      <c r="A316" s="2" t="n">
        <v>45931</v>
      </c>
      <c r="B316" s="3" t="s">
        <v>13</v>
      </c>
      <c r="C316" s="0" t="s">
        <v>11</v>
      </c>
      <c r="D316" s="4" t="n">
        <v>756</v>
      </c>
      <c r="E316" s="4" t="n">
        <f aca="false">INDEX(Assumptions!$E$4:$E$8,MATCH($C316,Assumptions!$D$4:$D$8,0))*(1+Assumptions!$B$10)^((YEAR($A316)-2024))</f>
        <v>313.95</v>
      </c>
      <c r="F316" s="4" t="n">
        <f aca="false">D316*E316</f>
        <v>237346.2</v>
      </c>
    </row>
    <row r="317" customFormat="false" ht="15" hidden="false" customHeight="false" outlineLevel="0" collapsed="false">
      <c r="A317" s="2" t="n">
        <v>45962</v>
      </c>
      <c r="B317" s="3" t="s">
        <v>6</v>
      </c>
      <c r="C317" s="0" t="s">
        <v>7</v>
      </c>
      <c r="D317" s="4" t="n">
        <v>1731</v>
      </c>
      <c r="E317" s="4" t="n">
        <f aca="false">INDEX(Assumptions!$E$4:$E$8,MATCH($C317,Assumptions!$D$4:$D$8,0))*(1+Assumptions!$B$10)^((YEAR($A317)-2024))</f>
        <v>135.45</v>
      </c>
      <c r="F317" s="4" t="n">
        <f aca="false">D317*E317</f>
        <v>234463.95</v>
      </c>
    </row>
    <row r="318" customFormat="false" ht="15" hidden="false" customHeight="false" outlineLevel="0" collapsed="false">
      <c r="A318" s="2" t="n">
        <v>45962</v>
      </c>
      <c r="B318" s="3" t="s">
        <v>6</v>
      </c>
      <c r="C318" s="0" t="s">
        <v>8</v>
      </c>
      <c r="D318" s="4" t="n">
        <v>1358</v>
      </c>
      <c r="E318" s="4" t="n">
        <f aca="false">INDEX(Assumptions!$E$4:$E$8,MATCH($C318,Assumptions!$D$4:$D$8,0))*(1+Assumptions!$B$10)^((YEAR($A318)-2024))</f>
        <v>177.45</v>
      </c>
      <c r="F318" s="4" t="n">
        <f aca="false">D318*E318</f>
        <v>240977.1</v>
      </c>
    </row>
    <row r="319" customFormat="false" ht="15" hidden="false" customHeight="false" outlineLevel="0" collapsed="false">
      <c r="A319" s="2" t="n">
        <v>45962</v>
      </c>
      <c r="B319" s="3" t="s">
        <v>6</v>
      </c>
      <c r="C319" s="0" t="s">
        <v>9</v>
      </c>
      <c r="D319" s="4" t="n">
        <v>1367</v>
      </c>
      <c r="E319" s="4" t="n">
        <f aca="false">INDEX(Assumptions!$E$4:$E$8,MATCH($C319,Assumptions!$D$4:$D$8,0))*(1+Assumptions!$B$10)^((YEAR($A319)-2024))</f>
        <v>208.95</v>
      </c>
      <c r="F319" s="4" t="n">
        <f aca="false">D319*E319</f>
        <v>285634.65</v>
      </c>
    </row>
    <row r="320" customFormat="false" ht="15" hidden="false" customHeight="false" outlineLevel="0" collapsed="false">
      <c r="A320" s="2" t="n">
        <v>45962</v>
      </c>
      <c r="B320" s="3" t="s">
        <v>6</v>
      </c>
      <c r="C320" s="0" t="s">
        <v>10</v>
      </c>
      <c r="D320" s="4" t="n">
        <v>974</v>
      </c>
      <c r="E320" s="4" t="n">
        <f aca="false">INDEX(Assumptions!$E$4:$E$8,MATCH($C320,Assumptions!$D$4:$D$8,0))*(1+Assumptions!$B$10)^((YEAR($A320)-2024))</f>
        <v>261.45</v>
      </c>
      <c r="F320" s="4" t="n">
        <f aca="false">D320*E320</f>
        <v>254652.3</v>
      </c>
    </row>
    <row r="321" customFormat="false" ht="15" hidden="false" customHeight="false" outlineLevel="0" collapsed="false">
      <c r="A321" s="2" t="n">
        <v>45962</v>
      </c>
      <c r="B321" s="3" t="s">
        <v>6</v>
      </c>
      <c r="C321" s="0" t="s">
        <v>11</v>
      </c>
      <c r="D321" s="4" t="n">
        <v>963</v>
      </c>
      <c r="E321" s="4" t="n">
        <f aca="false">INDEX(Assumptions!$E$4:$E$8,MATCH($C321,Assumptions!$D$4:$D$8,0))*(1+Assumptions!$B$10)^((YEAR($A321)-2024))</f>
        <v>313.95</v>
      </c>
      <c r="F321" s="4" t="n">
        <f aca="false">D321*E321</f>
        <v>302333.85</v>
      </c>
    </row>
    <row r="322" customFormat="false" ht="15" hidden="false" customHeight="false" outlineLevel="0" collapsed="false">
      <c r="A322" s="2" t="n">
        <v>45962</v>
      </c>
      <c r="B322" s="3" t="s">
        <v>12</v>
      </c>
      <c r="C322" s="0" t="s">
        <v>7</v>
      </c>
      <c r="D322" s="4" t="n">
        <v>1497</v>
      </c>
      <c r="E322" s="4" t="n">
        <f aca="false">INDEX(Assumptions!$E$4:$E$8,MATCH($C322,Assumptions!$D$4:$D$8,0))*(1+Assumptions!$B$10)^((YEAR($A322)-2024))</f>
        <v>135.45</v>
      </c>
      <c r="F322" s="4" t="n">
        <f aca="false">D322*E322</f>
        <v>202768.65</v>
      </c>
    </row>
    <row r="323" customFormat="false" ht="15" hidden="false" customHeight="false" outlineLevel="0" collapsed="false">
      <c r="A323" s="2" t="n">
        <v>45962</v>
      </c>
      <c r="B323" s="3" t="s">
        <v>12</v>
      </c>
      <c r="C323" s="0" t="s">
        <v>8</v>
      </c>
      <c r="D323" s="4" t="n">
        <v>1388</v>
      </c>
      <c r="E323" s="4" t="n">
        <f aca="false">INDEX(Assumptions!$E$4:$E$8,MATCH($C323,Assumptions!$D$4:$D$8,0))*(1+Assumptions!$B$10)^((YEAR($A323)-2024))</f>
        <v>177.45</v>
      </c>
      <c r="F323" s="4" t="n">
        <f aca="false">D323*E323</f>
        <v>246300.6</v>
      </c>
    </row>
    <row r="324" customFormat="false" ht="15" hidden="false" customHeight="false" outlineLevel="0" collapsed="false">
      <c r="A324" s="2" t="n">
        <v>45962</v>
      </c>
      <c r="B324" s="3" t="s">
        <v>12</v>
      </c>
      <c r="C324" s="0" t="s">
        <v>9</v>
      </c>
      <c r="D324" s="4" t="n">
        <v>1254</v>
      </c>
      <c r="E324" s="4" t="n">
        <f aca="false">INDEX(Assumptions!$E$4:$E$8,MATCH($C324,Assumptions!$D$4:$D$8,0))*(1+Assumptions!$B$10)^((YEAR($A324)-2024))</f>
        <v>208.95</v>
      </c>
      <c r="F324" s="4" t="n">
        <f aca="false">D324*E324</f>
        <v>262023.3</v>
      </c>
    </row>
    <row r="325" customFormat="false" ht="15" hidden="false" customHeight="false" outlineLevel="0" collapsed="false">
      <c r="A325" s="2" t="n">
        <v>45962</v>
      </c>
      <c r="B325" s="3" t="s">
        <v>12</v>
      </c>
      <c r="C325" s="0" t="s">
        <v>10</v>
      </c>
      <c r="D325" s="4" t="n">
        <v>1053</v>
      </c>
      <c r="E325" s="4" t="n">
        <f aca="false">INDEX(Assumptions!$E$4:$E$8,MATCH($C325,Assumptions!$D$4:$D$8,0))*(1+Assumptions!$B$10)^((YEAR($A325)-2024))</f>
        <v>261.45</v>
      </c>
      <c r="F325" s="4" t="n">
        <f aca="false">D325*E325</f>
        <v>275306.85</v>
      </c>
    </row>
    <row r="326" customFormat="false" ht="15" hidden="false" customHeight="false" outlineLevel="0" collapsed="false">
      <c r="A326" s="2" t="n">
        <v>45962</v>
      </c>
      <c r="B326" s="3" t="s">
        <v>12</v>
      </c>
      <c r="C326" s="0" t="s">
        <v>11</v>
      </c>
      <c r="D326" s="4" t="n">
        <v>636</v>
      </c>
      <c r="E326" s="4" t="n">
        <f aca="false">INDEX(Assumptions!$E$4:$E$8,MATCH($C326,Assumptions!$D$4:$D$8,0))*(1+Assumptions!$B$10)^((YEAR($A326)-2024))</f>
        <v>313.95</v>
      </c>
      <c r="F326" s="4" t="n">
        <f aca="false">D326*E326</f>
        <v>199672.2</v>
      </c>
    </row>
    <row r="327" customFormat="false" ht="15" hidden="false" customHeight="false" outlineLevel="0" collapsed="false">
      <c r="A327" s="2" t="n">
        <v>45962</v>
      </c>
      <c r="B327" s="3" t="s">
        <v>13</v>
      </c>
      <c r="C327" s="0" t="s">
        <v>7</v>
      </c>
      <c r="D327" s="4" t="n">
        <v>1301</v>
      </c>
      <c r="E327" s="4" t="n">
        <f aca="false">INDEX(Assumptions!$E$4:$E$8,MATCH($C327,Assumptions!$D$4:$D$8,0))*(1+Assumptions!$B$10)^((YEAR($A327)-2024))</f>
        <v>135.45</v>
      </c>
      <c r="F327" s="4" t="n">
        <f aca="false">D327*E327</f>
        <v>176220.45</v>
      </c>
    </row>
    <row r="328" customFormat="false" ht="15" hidden="false" customHeight="false" outlineLevel="0" collapsed="false">
      <c r="A328" s="2" t="n">
        <v>45962</v>
      </c>
      <c r="B328" s="3" t="s">
        <v>13</v>
      </c>
      <c r="C328" s="0" t="s">
        <v>8</v>
      </c>
      <c r="D328" s="4" t="n">
        <v>1038</v>
      </c>
      <c r="E328" s="4" t="n">
        <f aca="false">INDEX(Assumptions!$E$4:$E$8,MATCH($C328,Assumptions!$D$4:$D$8,0))*(1+Assumptions!$B$10)^((YEAR($A328)-2024))</f>
        <v>177.45</v>
      </c>
      <c r="F328" s="4" t="n">
        <f aca="false">D328*E328</f>
        <v>184193.1</v>
      </c>
    </row>
    <row r="329" customFormat="false" ht="15" hidden="false" customHeight="false" outlineLevel="0" collapsed="false">
      <c r="A329" s="2" t="n">
        <v>45962</v>
      </c>
      <c r="B329" s="3" t="s">
        <v>13</v>
      </c>
      <c r="C329" s="0" t="s">
        <v>9</v>
      </c>
      <c r="D329" s="4" t="n">
        <v>1166</v>
      </c>
      <c r="E329" s="4" t="n">
        <f aca="false">INDEX(Assumptions!$E$4:$E$8,MATCH($C329,Assumptions!$D$4:$D$8,0))*(1+Assumptions!$B$10)^((YEAR($A329)-2024))</f>
        <v>208.95</v>
      </c>
      <c r="F329" s="4" t="n">
        <f aca="false">D329*E329</f>
        <v>243635.7</v>
      </c>
    </row>
    <row r="330" customFormat="false" ht="15" hidden="false" customHeight="false" outlineLevel="0" collapsed="false">
      <c r="A330" s="2" t="n">
        <v>45962</v>
      </c>
      <c r="B330" s="3" t="s">
        <v>13</v>
      </c>
      <c r="C330" s="0" t="s">
        <v>10</v>
      </c>
      <c r="D330" s="4" t="n">
        <v>927</v>
      </c>
      <c r="E330" s="4" t="n">
        <f aca="false">INDEX(Assumptions!$E$4:$E$8,MATCH($C330,Assumptions!$D$4:$D$8,0))*(1+Assumptions!$B$10)^((YEAR($A330)-2024))</f>
        <v>261.45</v>
      </c>
      <c r="F330" s="4" t="n">
        <f aca="false">D330*E330</f>
        <v>242364.15</v>
      </c>
    </row>
    <row r="331" customFormat="false" ht="15" hidden="false" customHeight="false" outlineLevel="0" collapsed="false">
      <c r="A331" s="2" t="n">
        <v>45962</v>
      </c>
      <c r="B331" s="3" t="s">
        <v>13</v>
      </c>
      <c r="C331" s="0" t="s">
        <v>11</v>
      </c>
      <c r="D331" s="4" t="n">
        <v>741</v>
      </c>
      <c r="E331" s="4" t="n">
        <f aca="false">INDEX(Assumptions!$E$4:$E$8,MATCH($C331,Assumptions!$D$4:$D$8,0))*(1+Assumptions!$B$10)^((YEAR($A331)-2024))</f>
        <v>313.95</v>
      </c>
      <c r="F331" s="4" t="n">
        <f aca="false">D331*E331</f>
        <v>232636.95</v>
      </c>
    </row>
    <row r="332" customFormat="false" ht="15" hidden="false" customHeight="false" outlineLevel="0" collapsed="false">
      <c r="A332" s="2" t="n">
        <v>45992</v>
      </c>
      <c r="B332" s="3" t="s">
        <v>6</v>
      </c>
      <c r="C332" s="0" t="s">
        <v>7</v>
      </c>
      <c r="D332" s="4" t="n">
        <v>1773</v>
      </c>
      <c r="E332" s="4" t="n">
        <f aca="false">INDEX(Assumptions!$E$4:$E$8,MATCH($C332,Assumptions!$D$4:$D$8,0))*(1+Assumptions!$B$10)^((YEAR($A332)-2024))</f>
        <v>135.45</v>
      </c>
      <c r="F332" s="4" t="n">
        <f aca="false">D332*E332</f>
        <v>240152.85</v>
      </c>
    </row>
    <row r="333" customFormat="false" ht="15" hidden="false" customHeight="false" outlineLevel="0" collapsed="false">
      <c r="A333" s="2" t="n">
        <v>45992</v>
      </c>
      <c r="B333" s="3" t="s">
        <v>6</v>
      </c>
      <c r="C333" s="0" t="s">
        <v>8</v>
      </c>
      <c r="D333" s="4" t="n">
        <v>1357</v>
      </c>
      <c r="E333" s="4" t="n">
        <f aca="false">INDEX(Assumptions!$E$4:$E$8,MATCH($C333,Assumptions!$D$4:$D$8,0))*(1+Assumptions!$B$10)^((YEAR($A333)-2024))</f>
        <v>177.45</v>
      </c>
      <c r="F333" s="4" t="n">
        <f aca="false">D333*E333</f>
        <v>240799.65</v>
      </c>
    </row>
    <row r="334" customFormat="false" ht="15" hidden="false" customHeight="false" outlineLevel="0" collapsed="false">
      <c r="A334" s="2" t="n">
        <v>45992</v>
      </c>
      <c r="B334" s="3" t="s">
        <v>6</v>
      </c>
      <c r="C334" s="0" t="s">
        <v>9</v>
      </c>
      <c r="D334" s="4" t="n">
        <v>1497</v>
      </c>
      <c r="E334" s="4" t="n">
        <f aca="false">INDEX(Assumptions!$E$4:$E$8,MATCH($C334,Assumptions!$D$4:$D$8,0))*(1+Assumptions!$B$10)^((YEAR($A334)-2024))</f>
        <v>208.95</v>
      </c>
      <c r="F334" s="4" t="n">
        <f aca="false">D334*E334</f>
        <v>312798.15</v>
      </c>
    </row>
    <row r="335" customFormat="false" ht="15" hidden="false" customHeight="false" outlineLevel="0" collapsed="false">
      <c r="A335" s="2" t="n">
        <v>45992</v>
      </c>
      <c r="B335" s="3" t="s">
        <v>6</v>
      </c>
      <c r="C335" s="0" t="s">
        <v>10</v>
      </c>
      <c r="D335" s="4" t="n">
        <v>1001</v>
      </c>
      <c r="E335" s="4" t="n">
        <f aca="false">INDEX(Assumptions!$E$4:$E$8,MATCH($C335,Assumptions!$D$4:$D$8,0))*(1+Assumptions!$B$10)^((YEAR($A335)-2024))</f>
        <v>261.45</v>
      </c>
      <c r="F335" s="4" t="n">
        <f aca="false">D335*E335</f>
        <v>261711.45</v>
      </c>
    </row>
    <row r="336" customFormat="false" ht="15" hidden="false" customHeight="false" outlineLevel="0" collapsed="false">
      <c r="A336" s="2" t="n">
        <v>45992</v>
      </c>
      <c r="B336" s="3" t="s">
        <v>6</v>
      </c>
      <c r="C336" s="0" t="s">
        <v>11</v>
      </c>
      <c r="D336" s="4" t="n">
        <v>991</v>
      </c>
      <c r="E336" s="4" t="n">
        <f aca="false">INDEX(Assumptions!$E$4:$E$8,MATCH($C336,Assumptions!$D$4:$D$8,0))*(1+Assumptions!$B$10)^((YEAR($A336)-2024))</f>
        <v>313.95</v>
      </c>
      <c r="F336" s="4" t="n">
        <f aca="false">D336*E336</f>
        <v>311124.45</v>
      </c>
    </row>
    <row r="337" customFormat="false" ht="15" hidden="false" customHeight="false" outlineLevel="0" collapsed="false">
      <c r="A337" s="2" t="n">
        <v>45992</v>
      </c>
      <c r="B337" s="3" t="s">
        <v>12</v>
      </c>
      <c r="C337" s="0" t="s">
        <v>7</v>
      </c>
      <c r="D337" s="4" t="n">
        <v>1562</v>
      </c>
      <c r="E337" s="4" t="n">
        <f aca="false">INDEX(Assumptions!$E$4:$E$8,MATCH($C337,Assumptions!$D$4:$D$8,0))*(1+Assumptions!$B$10)^((YEAR($A337)-2024))</f>
        <v>135.45</v>
      </c>
      <c r="F337" s="4" t="n">
        <f aca="false">D337*E337</f>
        <v>211572.9</v>
      </c>
    </row>
    <row r="338" customFormat="false" ht="15" hidden="false" customHeight="false" outlineLevel="0" collapsed="false">
      <c r="A338" s="2" t="n">
        <v>45992</v>
      </c>
      <c r="B338" s="3" t="s">
        <v>12</v>
      </c>
      <c r="C338" s="0" t="s">
        <v>8</v>
      </c>
      <c r="D338" s="4" t="n">
        <v>1163</v>
      </c>
      <c r="E338" s="4" t="n">
        <f aca="false">INDEX(Assumptions!$E$4:$E$8,MATCH($C338,Assumptions!$D$4:$D$8,0))*(1+Assumptions!$B$10)^((YEAR($A338)-2024))</f>
        <v>177.45</v>
      </c>
      <c r="F338" s="4" t="n">
        <f aca="false">D338*E338</f>
        <v>206374.35</v>
      </c>
    </row>
    <row r="339" customFormat="false" ht="15" hidden="false" customHeight="false" outlineLevel="0" collapsed="false">
      <c r="A339" s="2" t="n">
        <v>45992</v>
      </c>
      <c r="B339" s="3" t="s">
        <v>12</v>
      </c>
      <c r="C339" s="0" t="s">
        <v>9</v>
      </c>
      <c r="D339" s="4" t="n">
        <v>1312</v>
      </c>
      <c r="E339" s="4" t="n">
        <f aca="false">INDEX(Assumptions!$E$4:$E$8,MATCH($C339,Assumptions!$D$4:$D$8,0))*(1+Assumptions!$B$10)^((YEAR($A339)-2024))</f>
        <v>208.95</v>
      </c>
      <c r="F339" s="4" t="n">
        <f aca="false">D339*E339</f>
        <v>274142.4</v>
      </c>
    </row>
    <row r="340" customFormat="false" ht="15" hidden="false" customHeight="false" outlineLevel="0" collapsed="false">
      <c r="A340" s="2" t="n">
        <v>45992</v>
      </c>
      <c r="B340" s="3" t="s">
        <v>12</v>
      </c>
      <c r="C340" s="0" t="s">
        <v>10</v>
      </c>
      <c r="D340" s="4" t="n">
        <v>975</v>
      </c>
      <c r="E340" s="4" t="n">
        <f aca="false">INDEX(Assumptions!$E$4:$E$8,MATCH($C340,Assumptions!$D$4:$D$8,0))*(1+Assumptions!$B$10)^((YEAR($A340)-2024))</f>
        <v>261.45</v>
      </c>
      <c r="F340" s="4" t="n">
        <f aca="false">D340*E340</f>
        <v>254913.75</v>
      </c>
    </row>
    <row r="341" customFormat="false" ht="15" hidden="false" customHeight="false" outlineLevel="0" collapsed="false">
      <c r="A341" s="2" t="n">
        <v>45992</v>
      </c>
      <c r="B341" s="3" t="s">
        <v>12</v>
      </c>
      <c r="C341" s="0" t="s">
        <v>11</v>
      </c>
      <c r="D341" s="4" t="n">
        <v>730</v>
      </c>
      <c r="E341" s="4" t="n">
        <f aca="false">INDEX(Assumptions!$E$4:$E$8,MATCH($C341,Assumptions!$D$4:$D$8,0))*(1+Assumptions!$B$10)^((YEAR($A341)-2024))</f>
        <v>313.95</v>
      </c>
      <c r="F341" s="4" t="n">
        <f aca="false">D341*E341</f>
        <v>229183.5</v>
      </c>
    </row>
    <row r="342" customFormat="false" ht="15" hidden="false" customHeight="false" outlineLevel="0" collapsed="false">
      <c r="A342" s="2" t="n">
        <v>45992</v>
      </c>
      <c r="B342" s="3" t="s">
        <v>13</v>
      </c>
      <c r="C342" s="0" t="s">
        <v>7</v>
      </c>
      <c r="D342" s="4" t="n">
        <v>1381</v>
      </c>
      <c r="E342" s="4" t="n">
        <f aca="false">INDEX(Assumptions!$E$4:$E$8,MATCH($C342,Assumptions!$D$4:$D$8,0))*(1+Assumptions!$B$10)^((YEAR($A342)-2024))</f>
        <v>135.45</v>
      </c>
      <c r="F342" s="4" t="n">
        <f aca="false">D342*E342</f>
        <v>187056.45</v>
      </c>
    </row>
    <row r="343" customFormat="false" ht="15" hidden="false" customHeight="false" outlineLevel="0" collapsed="false">
      <c r="A343" s="2" t="n">
        <v>45992</v>
      </c>
      <c r="B343" s="3" t="s">
        <v>13</v>
      </c>
      <c r="C343" s="0" t="s">
        <v>8</v>
      </c>
      <c r="D343" s="4" t="n">
        <v>1048</v>
      </c>
      <c r="E343" s="4" t="n">
        <f aca="false">INDEX(Assumptions!$E$4:$E$8,MATCH($C343,Assumptions!$D$4:$D$8,0))*(1+Assumptions!$B$10)^((YEAR($A343)-2024))</f>
        <v>177.45</v>
      </c>
      <c r="F343" s="4" t="n">
        <f aca="false">D343*E343</f>
        <v>185967.6</v>
      </c>
    </row>
    <row r="344" customFormat="false" ht="15" hidden="false" customHeight="false" outlineLevel="0" collapsed="false">
      <c r="A344" s="2" t="n">
        <v>45992</v>
      </c>
      <c r="B344" s="3" t="s">
        <v>13</v>
      </c>
      <c r="C344" s="0" t="s">
        <v>9</v>
      </c>
      <c r="D344" s="4" t="n">
        <v>924</v>
      </c>
      <c r="E344" s="4" t="n">
        <f aca="false">INDEX(Assumptions!$E$4:$E$8,MATCH($C344,Assumptions!$D$4:$D$8,0))*(1+Assumptions!$B$10)^((YEAR($A344)-2024))</f>
        <v>208.95</v>
      </c>
      <c r="F344" s="4" t="n">
        <f aca="false">D344*E344</f>
        <v>193069.8</v>
      </c>
    </row>
    <row r="345" customFormat="false" ht="15" hidden="false" customHeight="false" outlineLevel="0" collapsed="false">
      <c r="A345" s="2" t="n">
        <v>45992</v>
      </c>
      <c r="B345" s="3" t="s">
        <v>13</v>
      </c>
      <c r="C345" s="0" t="s">
        <v>10</v>
      </c>
      <c r="D345" s="4" t="n">
        <v>806</v>
      </c>
      <c r="E345" s="4" t="n">
        <f aca="false">INDEX(Assumptions!$E$4:$E$8,MATCH($C345,Assumptions!$D$4:$D$8,0))*(1+Assumptions!$B$10)^((YEAR($A345)-2024))</f>
        <v>261.45</v>
      </c>
      <c r="F345" s="4" t="n">
        <f aca="false">D345*E345</f>
        <v>210728.7</v>
      </c>
    </row>
    <row r="346" customFormat="false" ht="15" hidden="false" customHeight="false" outlineLevel="0" collapsed="false">
      <c r="A346" s="2" t="n">
        <v>45992</v>
      </c>
      <c r="B346" s="3" t="s">
        <v>13</v>
      </c>
      <c r="C346" s="0" t="s">
        <v>11</v>
      </c>
      <c r="D346" s="4" t="n">
        <v>662</v>
      </c>
      <c r="E346" s="4" t="n">
        <f aca="false">INDEX(Assumptions!$E$4:$E$8,MATCH($C346,Assumptions!$D$4:$D$8,0))*(1+Assumptions!$B$10)^((YEAR($A346)-2024))</f>
        <v>313.95</v>
      </c>
      <c r="F346" s="4" t="n">
        <f aca="false">D346*E346</f>
        <v>207834.9</v>
      </c>
    </row>
    <row r="347" customFormat="false" ht="15" hidden="false" customHeight="false" outlineLevel="0" collapsed="false">
      <c r="A347" s="2" t="n">
        <v>46023</v>
      </c>
      <c r="B347" s="3" t="s">
        <v>6</v>
      </c>
      <c r="C347" s="0" t="s">
        <v>7</v>
      </c>
      <c r="D347" s="4" t="n">
        <v>2009</v>
      </c>
      <c r="E347" s="4" t="n">
        <f aca="false">INDEX(Assumptions!$E$4:$E$8,MATCH($C347,Assumptions!$D$4:$D$8,0))*(1+Assumptions!$B$10)^((YEAR($A347)-2024))</f>
        <v>142.2225</v>
      </c>
      <c r="F347" s="4" t="n">
        <f aca="false">D347*E347</f>
        <v>285725.0025</v>
      </c>
    </row>
    <row r="348" customFormat="false" ht="15" hidden="false" customHeight="false" outlineLevel="0" collapsed="false">
      <c r="A348" s="2" t="n">
        <v>46023</v>
      </c>
      <c r="B348" s="3" t="s">
        <v>6</v>
      </c>
      <c r="C348" s="0" t="s">
        <v>8</v>
      </c>
      <c r="D348" s="4" t="n">
        <v>1858</v>
      </c>
      <c r="E348" s="4" t="n">
        <f aca="false">INDEX(Assumptions!$E$4:$E$8,MATCH($C348,Assumptions!$D$4:$D$8,0))*(1+Assumptions!$B$10)^((YEAR($A348)-2024))</f>
        <v>186.3225</v>
      </c>
      <c r="F348" s="4" t="n">
        <f aca="false">D348*E348</f>
        <v>346187.205</v>
      </c>
    </row>
    <row r="349" customFormat="false" ht="15" hidden="false" customHeight="false" outlineLevel="0" collapsed="false">
      <c r="A349" s="2" t="n">
        <v>46023</v>
      </c>
      <c r="B349" s="3" t="s">
        <v>6</v>
      </c>
      <c r="C349" s="0" t="s">
        <v>9</v>
      </c>
      <c r="D349" s="4" t="n">
        <v>1437</v>
      </c>
      <c r="E349" s="4" t="n">
        <f aca="false">INDEX(Assumptions!$E$4:$E$8,MATCH($C349,Assumptions!$D$4:$D$8,0))*(1+Assumptions!$B$10)^((YEAR($A349)-2024))</f>
        <v>219.3975</v>
      </c>
      <c r="F349" s="4" t="n">
        <f aca="false">D349*E349</f>
        <v>315274.2075</v>
      </c>
    </row>
    <row r="350" customFormat="false" ht="15" hidden="false" customHeight="false" outlineLevel="0" collapsed="false">
      <c r="A350" s="2" t="n">
        <v>46023</v>
      </c>
      <c r="B350" s="3" t="s">
        <v>6</v>
      </c>
      <c r="C350" s="0" t="s">
        <v>10</v>
      </c>
      <c r="D350" s="4" t="n">
        <v>1321</v>
      </c>
      <c r="E350" s="4" t="n">
        <f aca="false">INDEX(Assumptions!$E$4:$E$8,MATCH($C350,Assumptions!$D$4:$D$8,0))*(1+Assumptions!$B$10)^((YEAR($A350)-2024))</f>
        <v>274.5225</v>
      </c>
      <c r="F350" s="4" t="n">
        <f aca="false">D350*E350</f>
        <v>362644.2225</v>
      </c>
    </row>
    <row r="351" customFormat="false" ht="15" hidden="false" customHeight="false" outlineLevel="0" collapsed="false">
      <c r="A351" s="2" t="n">
        <v>46023</v>
      </c>
      <c r="B351" s="3" t="s">
        <v>6</v>
      </c>
      <c r="C351" s="0" t="s">
        <v>11</v>
      </c>
      <c r="D351" s="4" t="n">
        <v>966</v>
      </c>
      <c r="E351" s="4" t="n">
        <f aca="false">INDEX(Assumptions!$E$4:$E$8,MATCH($C351,Assumptions!$D$4:$D$8,0))*(1+Assumptions!$B$10)^((YEAR($A351)-2024))</f>
        <v>329.6475</v>
      </c>
      <c r="F351" s="4" t="n">
        <f aca="false">D351*E351</f>
        <v>318439.485</v>
      </c>
    </row>
    <row r="352" customFormat="false" ht="15" hidden="false" customHeight="false" outlineLevel="0" collapsed="false">
      <c r="A352" s="2" t="n">
        <v>46023</v>
      </c>
      <c r="B352" s="3" t="s">
        <v>12</v>
      </c>
      <c r="C352" s="0" t="s">
        <v>7</v>
      </c>
      <c r="D352" s="4" t="n">
        <v>1802</v>
      </c>
      <c r="E352" s="4" t="n">
        <f aca="false">INDEX(Assumptions!$E$4:$E$8,MATCH($C352,Assumptions!$D$4:$D$8,0))*(1+Assumptions!$B$10)^((YEAR($A352)-2024))</f>
        <v>142.2225</v>
      </c>
      <c r="F352" s="4" t="n">
        <f aca="false">D352*E352</f>
        <v>256284.945</v>
      </c>
    </row>
    <row r="353" customFormat="false" ht="15" hidden="false" customHeight="false" outlineLevel="0" collapsed="false">
      <c r="A353" s="2" t="n">
        <v>46023</v>
      </c>
      <c r="B353" s="3" t="s">
        <v>12</v>
      </c>
      <c r="C353" s="0" t="s">
        <v>8</v>
      </c>
      <c r="D353" s="4" t="n">
        <v>1432</v>
      </c>
      <c r="E353" s="4" t="n">
        <f aca="false">INDEX(Assumptions!$E$4:$E$8,MATCH($C353,Assumptions!$D$4:$D$8,0))*(1+Assumptions!$B$10)^((YEAR($A353)-2024))</f>
        <v>186.3225</v>
      </c>
      <c r="F353" s="4" t="n">
        <f aca="false">D353*E353</f>
        <v>266813.82</v>
      </c>
    </row>
    <row r="354" customFormat="false" ht="15" hidden="false" customHeight="false" outlineLevel="0" collapsed="false">
      <c r="A354" s="2" t="n">
        <v>46023</v>
      </c>
      <c r="B354" s="3" t="s">
        <v>12</v>
      </c>
      <c r="C354" s="0" t="s">
        <v>9</v>
      </c>
      <c r="D354" s="4" t="n">
        <v>1515</v>
      </c>
      <c r="E354" s="4" t="n">
        <f aca="false">INDEX(Assumptions!$E$4:$E$8,MATCH($C354,Assumptions!$D$4:$D$8,0))*(1+Assumptions!$B$10)^((YEAR($A354)-2024))</f>
        <v>219.3975</v>
      </c>
      <c r="F354" s="4" t="n">
        <f aca="false">D354*E354</f>
        <v>332387.2125</v>
      </c>
    </row>
    <row r="355" customFormat="false" ht="15" hidden="false" customHeight="false" outlineLevel="0" collapsed="false">
      <c r="A355" s="2" t="n">
        <v>46023</v>
      </c>
      <c r="B355" s="3" t="s">
        <v>12</v>
      </c>
      <c r="C355" s="0" t="s">
        <v>10</v>
      </c>
      <c r="D355" s="4" t="n">
        <v>975</v>
      </c>
      <c r="E355" s="4" t="n">
        <f aca="false">INDEX(Assumptions!$E$4:$E$8,MATCH($C355,Assumptions!$D$4:$D$8,0))*(1+Assumptions!$B$10)^((YEAR($A355)-2024))</f>
        <v>274.5225</v>
      </c>
      <c r="F355" s="4" t="n">
        <f aca="false">D355*E355</f>
        <v>267659.4375</v>
      </c>
    </row>
    <row r="356" customFormat="false" ht="15" hidden="false" customHeight="false" outlineLevel="0" collapsed="false">
      <c r="A356" s="2" t="n">
        <v>46023</v>
      </c>
      <c r="B356" s="3" t="s">
        <v>12</v>
      </c>
      <c r="C356" s="0" t="s">
        <v>11</v>
      </c>
      <c r="D356" s="4" t="n">
        <v>988</v>
      </c>
      <c r="E356" s="4" t="n">
        <f aca="false">INDEX(Assumptions!$E$4:$E$8,MATCH($C356,Assumptions!$D$4:$D$8,0))*(1+Assumptions!$B$10)^((YEAR($A356)-2024))</f>
        <v>329.6475</v>
      </c>
      <c r="F356" s="4" t="n">
        <f aca="false">D356*E356</f>
        <v>325691.73</v>
      </c>
    </row>
    <row r="357" customFormat="false" ht="15" hidden="false" customHeight="false" outlineLevel="0" collapsed="false">
      <c r="A357" s="2" t="n">
        <v>46023</v>
      </c>
      <c r="B357" s="3" t="s">
        <v>13</v>
      </c>
      <c r="C357" s="0" t="s">
        <v>7</v>
      </c>
      <c r="D357" s="4" t="n">
        <v>1280</v>
      </c>
      <c r="E357" s="4" t="n">
        <f aca="false">INDEX(Assumptions!$E$4:$E$8,MATCH($C357,Assumptions!$D$4:$D$8,0))*(1+Assumptions!$B$10)^((YEAR($A357)-2024))</f>
        <v>142.2225</v>
      </c>
      <c r="F357" s="4" t="n">
        <f aca="false">D357*E357</f>
        <v>182044.8</v>
      </c>
    </row>
    <row r="358" customFormat="false" ht="15" hidden="false" customHeight="false" outlineLevel="0" collapsed="false">
      <c r="A358" s="2" t="n">
        <v>46023</v>
      </c>
      <c r="B358" s="3" t="s">
        <v>13</v>
      </c>
      <c r="C358" s="0" t="s">
        <v>8</v>
      </c>
      <c r="D358" s="4" t="n">
        <v>1452</v>
      </c>
      <c r="E358" s="4" t="n">
        <f aca="false">INDEX(Assumptions!$E$4:$E$8,MATCH($C358,Assumptions!$D$4:$D$8,0))*(1+Assumptions!$B$10)^((YEAR($A358)-2024))</f>
        <v>186.3225</v>
      </c>
      <c r="F358" s="4" t="n">
        <f aca="false">D358*E358</f>
        <v>270540.27</v>
      </c>
    </row>
    <row r="359" customFormat="false" ht="15" hidden="false" customHeight="false" outlineLevel="0" collapsed="false">
      <c r="A359" s="2" t="n">
        <v>46023</v>
      </c>
      <c r="B359" s="3" t="s">
        <v>13</v>
      </c>
      <c r="C359" s="0" t="s">
        <v>9</v>
      </c>
      <c r="D359" s="4" t="n">
        <v>1120</v>
      </c>
      <c r="E359" s="4" t="n">
        <f aca="false">INDEX(Assumptions!$E$4:$E$8,MATCH($C359,Assumptions!$D$4:$D$8,0))*(1+Assumptions!$B$10)^((YEAR($A359)-2024))</f>
        <v>219.3975</v>
      </c>
      <c r="F359" s="4" t="n">
        <f aca="false">D359*E359</f>
        <v>245725.2</v>
      </c>
    </row>
    <row r="360" customFormat="false" ht="15" hidden="false" customHeight="false" outlineLevel="0" collapsed="false">
      <c r="A360" s="2" t="n">
        <v>46023</v>
      </c>
      <c r="B360" s="3" t="s">
        <v>13</v>
      </c>
      <c r="C360" s="0" t="s">
        <v>10</v>
      </c>
      <c r="D360" s="4" t="n">
        <v>875</v>
      </c>
      <c r="E360" s="4" t="n">
        <f aca="false">INDEX(Assumptions!$E$4:$E$8,MATCH($C360,Assumptions!$D$4:$D$8,0))*(1+Assumptions!$B$10)^((YEAR($A360)-2024))</f>
        <v>274.5225</v>
      </c>
      <c r="F360" s="4" t="n">
        <f aca="false">D360*E360</f>
        <v>240207.1875</v>
      </c>
    </row>
    <row r="361" customFormat="false" ht="15" hidden="false" customHeight="false" outlineLevel="0" collapsed="false">
      <c r="A361" s="2" t="n">
        <v>46023</v>
      </c>
      <c r="B361" s="3" t="s">
        <v>13</v>
      </c>
      <c r="C361" s="0" t="s">
        <v>11</v>
      </c>
      <c r="D361" s="4" t="n">
        <v>764</v>
      </c>
      <c r="E361" s="4" t="n">
        <f aca="false">INDEX(Assumptions!$E$4:$E$8,MATCH($C361,Assumptions!$D$4:$D$8,0))*(1+Assumptions!$B$10)^((YEAR($A361)-2024))</f>
        <v>329.6475</v>
      </c>
      <c r="F361" s="4" t="n">
        <f aca="false">D361*E361</f>
        <v>251850.69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5" min="4" style="0" width="9"/>
  </cols>
  <sheetData>
    <row r="1" customFormat="false" ht="21.75" hidden="false" customHeight="true" outlineLevel="0" collapsed="false">
      <c r="A1" s="1" t="s">
        <v>14</v>
      </c>
      <c r="B1" s="1" t="s">
        <v>15</v>
      </c>
    </row>
    <row r="2" customFormat="false" ht="15" hidden="false" customHeight="false" outlineLevel="0" collapsed="false">
      <c r="A2" s="3" t="s">
        <v>16</v>
      </c>
      <c r="B2" s="3" t="s">
        <v>17</v>
      </c>
    </row>
    <row r="3" customFormat="false" ht="21.75" hidden="false" customHeight="true" outlineLevel="0" collapsed="false">
      <c r="A3" s="1" t="s">
        <v>1</v>
      </c>
      <c r="B3" s="1" t="s">
        <v>18</v>
      </c>
      <c r="D3" s="1" t="s">
        <v>2</v>
      </c>
      <c r="E3" s="1" t="s">
        <v>19</v>
      </c>
    </row>
    <row r="4" customFormat="false" ht="15" hidden="false" customHeight="false" outlineLevel="0" collapsed="false">
      <c r="A4" s="3" t="s">
        <v>6</v>
      </c>
      <c r="B4" s="3" t="s">
        <v>20</v>
      </c>
      <c r="D4" s="0" t="s">
        <v>7</v>
      </c>
      <c r="E4" s="4" t="n">
        <v>129</v>
      </c>
    </row>
    <row r="5" customFormat="false" ht="15" hidden="false" customHeight="false" outlineLevel="0" collapsed="false">
      <c r="A5" s="3" t="s">
        <v>12</v>
      </c>
      <c r="B5" s="3" t="s">
        <v>20</v>
      </c>
      <c r="D5" s="0" t="s">
        <v>8</v>
      </c>
      <c r="E5" s="4" t="n">
        <v>169</v>
      </c>
    </row>
    <row r="6" customFormat="false" ht="15" hidden="false" customHeight="false" outlineLevel="0" collapsed="false">
      <c r="A6" s="3" t="s">
        <v>13</v>
      </c>
      <c r="B6" s="3" t="s">
        <v>20</v>
      </c>
      <c r="D6" s="0" t="s">
        <v>9</v>
      </c>
      <c r="E6" s="4" t="n">
        <v>199</v>
      </c>
    </row>
    <row r="7" customFormat="false" ht="15" hidden="false" customHeight="false" outlineLevel="0" collapsed="false">
      <c r="D7" s="0" t="s">
        <v>10</v>
      </c>
      <c r="E7" s="4" t="n">
        <v>249</v>
      </c>
    </row>
    <row r="8" customFormat="false" ht="15" hidden="false" customHeight="false" outlineLevel="0" collapsed="false">
      <c r="D8" s="0" t="s">
        <v>11</v>
      </c>
      <c r="E8" s="4" t="n">
        <v>299</v>
      </c>
    </row>
    <row r="10" customFormat="false" ht="15" hidden="false" customHeight="false" outlineLevel="0" collapsed="false">
      <c r="A10" s="3" t="s">
        <v>21</v>
      </c>
      <c r="B10" s="5" t="n">
        <v>0.05</v>
      </c>
    </row>
    <row r="11" customFormat="false" ht="15" hidden="false" customHeight="false" outlineLevel="0" collapsed="false">
      <c r="A11" s="3" t="s">
        <v>22</v>
      </c>
      <c r="B11" s="6" t="n">
        <v>0.35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5" min="5" style="0" width="18"/>
    <col collapsed="false" customWidth="true" hidden="false" outlineLevel="0" max="6" min="6" style="0" width="16"/>
  </cols>
  <sheetData>
    <row r="1" customFormat="false" ht="15" hidden="false" customHeight="false" outlineLevel="0" collapsed="false">
      <c r="A1" s="7" t="s">
        <v>23</v>
      </c>
    </row>
    <row r="3" customFormat="false" ht="15" hidden="false" customHeight="false" outlineLevel="0" collapsed="false">
      <c r="A3" s="3" t="s">
        <v>24</v>
      </c>
      <c r="B3" s="8" t="s">
        <v>6</v>
      </c>
      <c r="E3" s="9" t="s">
        <v>25</v>
      </c>
    </row>
    <row r="4" customFormat="false" ht="15" hidden="false" customHeight="false" outlineLevel="0" collapsed="false">
      <c r="E4" s="10" t="s">
        <v>26</v>
      </c>
      <c r="F4" s="11" t="n">
        <f aca="false">SUM(B7:B30)</f>
        <v>38928679.45</v>
      </c>
    </row>
    <row r="5" customFormat="false" ht="15" hidden="false" customHeight="false" outlineLevel="0" collapsed="false">
      <c r="A5" s="9" t="s">
        <v>27</v>
      </c>
      <c r="E5" s="12" t="s">
        <v>28</v>
      </c>
      <c r="F5" s="13" t="n">
        <f aca="false">IFERROR((SUM(B19:B30)/SUM(B7:B18))-1,"")</f>
        <v>-0.00131726285874834</v>
      </c>
    </row>
    <row r="6" customFormat="false" ht="21.75" hidden="false" customHeight="true" outlineLevel="0" collapsed="false">
      <c r="A6" s="1" t="s">
        <v>29</v>
      </c>
      <c r="B6" s="1" t="s">
        <v>30</v>
      </c>
      <c r="C6" s="1" t="s">
        <v>31</v>
      </c>
      <c r="E6" s="12" t="s">
        <v>32</v>
      </c>
      <c r="F6" s="14" t="str">
        <f aca="false">IFERROR(stdev.s(C8:C30),"")</f>
        <v/>
      </c>
    </row>
    <row r="7" customFormat="false" ht="15" hidden="false" customHeight="false" outlineLevel="0" collapsed="false">
      <c r="A7" s="15" t="n">
        <f aca="false">DATE(2024,1,1)+0*31</f>
        <v>45292</v>
      </c>
      <c r="B7" s="16" t="n">
        <f aca="false">SUMIFS(Data!$F:$F,Data!$B:$B,$B$3,Data!$A:$A,DATE(YEAR($A7),MONTH($A7),1))</f>
        <v>1569530</v>
      </c>
      <c r="C7" s="17"/>
    </row>
    <row r="8" customFormat="false" ht="15" hidden="false" customHeight="false" outlineLevel="0" collapsed="false">
      <c r="A8" s="15" t="n">
        <f aca="false">DATE(2024,1,1)+1*31</f>
        <v>45323</v>
      </c>
      <c r="B8" s="16" t="n">
        <f aca="false">SUMIFS(Data!$F:$F,Data!$B:$B,$B$3,Data!$A:$A,DATE(YEAR($A8),MONTH($A8),1))</f>
        <v>1802966</v>
      </c>
      <c r="C8" s="18" t="n">
        <f aca="false">IFERROR((B8-B7)/B7,"")</f>
        <v>0.148729874548432</v>
      </c>
    </row>
    <row r="9" customFormat="false" ht="15" hidden="false" customHeight="false" outlineLevel="0" collapsed="false">
      <c r="A9" s="15" t="n">
        <f aca="false">DATE(2024,1,1)+2*31</f>
        <v>45354</v>
      </c>
      <c r="B9" s="16" t="n">
        <f aca="false">SUMIFS(Data!$F:$F,Data!$B:$B,$B$3,Data!$A:$A,DATE(YEAR($A9),MONTH($A9),1))</f>
        <v>2094359</v>
      </c>
      <c r="C9" s="18" t="n">
        <f aca="false">IFERROR((B9-B8)/B8,"")</f>
        <v>0.161618688316918</v>
      </c>
    </row>
    <row r="10" customFormat="false" ht="15" hidden="false" customHeight="false" outlineLevel="0" collapsed="false">
      <c r="A10" s="15" t="n">
        <f aca="false">DATE(2024,1,1)+3*31</f>
        <v>45385</v>
      </c>
      <c r="B10" s="16" t="n">
        <f aca="false">SUMIFS(Data!$F:$F,Data!$B:$B,$B$3,Data!$A:$A,DATE(YEAR($A10),MONTH($A10),1))</f>
        <v>1938900</v>
      </c>
      <c r="C10" s="18" t="n">
        <f aca="false">IFERROR((B10-B9)/B9,"")</f>
        <v>-0.0742274843997615</v>
      </c>
    </row>
    <row r="11" customFormat="false" ht="15" hidden="false" customHeight="false" outlineLevel="0" collapsed="false">
      <c r="A11" s="15" t="n">
        <f aca="false">DATE(2024,1,1)+4*31</f>
        <v>45416</v>
      </c>
      <c r="B11" s="16" t="n">
        <f aca="false">SUMIFS(Data!$F:$F,Data!$B:$B,$B$3,Data!$A:$A,DATE(YEAR($A11),MONTH($A11),1))</f>
        <v>2124368</v>
      </c>
      <c r="C11" s="18" t="n">
        <f aca="false">IFERROR((B11-B10)/B10,"")</f>
        <v>0.0956562999638971</v>
      </c>
    </row>
    <row r="12" customFormat="false" ht="15" hidden="false" customHeight="false" outlineLevel="0" collapsed="false">
      <c r="A12" s="15" t="n">
        <f aca="false">DATE(2024,1,1)+5*31</f>
        <v>45447</v>
      </c>
      <c r="B12" s="16" t="n">
        <f aca="false">SUMIFS(Data!$F:$F,Data!$B:$B,$B$3,Data!$A:$A,DATE(YEAR($A12),MONTH($A12),1))</f>
        <v>1809056</v>
      </c>
      <c r="C12" s="18" t="n">
        <f aca="false">IFERROR((B12-B11)/B11,"")</f>
        <v>-0.14842626136338</v>
      </c>
    </row>
    <row r="13" customFormat="false" ht="15" hidden="false" customHeight="false" outlineLevel="0" collapsed="false">
      <c r="A13" s="15" t="n">
        <f aca="false">DATE(2024,1,1)+6*31</f>
        <v>45478</v>
      </c>
      <c r="B13" s="16" t="n">
        <f aca="false">SUMIFS(Data!$F:$F,Data!$B:$B,$B$3,Data!$A:$A,DATE(YEAR($A13),MONTH($A13),1))</f>
        <v>1591262</v>
      </c>
      <c r="C13" s="18" t="n">
        <f aca="false">IFERROR((B13-B12)/B12,"")</f>
        <v>-0.120390966338245</v>
      </c>
    </row>
    <row r="14" customFormat="false" ht="15" hidden="false" customHeight="false" outlineLevel="0" collapsed="false">
      <c r="A14" s="15" t="n">
        <f aca="false">DATE(2024,1,1)+7*31</f>
        <v>45509</v>
      </c>
      <c r="B14" s="16" t="n">
        <f aca="false">SUMIFS(Data!$F:$F,Data!$B:$B,$B$3,Data!$A:$A,DATE(YEAR($A14),MONTH($A14),1))</f>
        <v>1436493</v>
      </c>
      <c r="C14" s="18" t="n">
        <f aca="false">IFERROR((B14-B13)/B13,"")</f>
        <v>-0.0972617959833139</v>
      </c>
    </row>
    <row r="15" customFormat="false" ht="15" hidden="false" customHeight="false" outlineLevel="0" collapsed="false">
      <c r="A15" s="15" t="n">
        <f aca="false">DATE(2024,1,1)+8*31</f>
        <v>45540</v>
      </c>
      <c r="B15" s="16" t="n">
        <f aca="false">SUMIFS(Data!$F:$F,Data!$B:$B,$B$3,Data!$A:$A,DATE(YEAR($A15),MONTH($A15),1))</f>
        <v>1283919</v>
      </c>
      <c r="C15" s="18" t="n">
        <f aca="false">IFERROR((B15-B14)/B14,"")</f>
        <v>-0.106212839185433</v>
      </c>
    </row>
    <row r="16" customFormat="false" ht="15" hidden="false" customHeight="false" outlineLevel="0" collapsed="false">
      <c r="A16" s="15" t="n">
        <f aca="false">DATE(2024,1,1)+9*31</f>
        <v>45571</v>
      </c>
      <c r="B16" s="16" t="n">
        <f aca="false">SUMIFS(Data!$F:$F,Data!$B:$B,$B$3,Data!$A:$A,DATE(YEAR($A16),MONTH($A16),1))</f>
        <v>1206506</v>
      </c>
      <c r="C16" s="18" t="n">
        <f aca="false">IFERROR((B16-B15)/B15,"")</f>
        <v>-0.0602943020548804</v>
      </c>
    </row>
    <row r="17" customFormat="false" ht="15" hidden="false" customHeight="false" outlineLevel="0" collapsed="false">
      <c r="A17" s="15" t="n">
        <f aca="false">DATE(2024,1,1)+10*31</f>
        <v>45602</v>
      </c>
      <c r="B17" s="16" t="n">
        <f aca="false">SUMIFS(Data!$F:$F,Data!$B:$B,$B$3,Data!$A:$A,DATE(YEAR($A17),MONTH($A17),1))</f>
        <v>1287290</v>
      </c>
      <c r="C17" s="18" t="n">
        <f aca="false">IFERROR((B17-B16)/B16,"")</f>
        <v>0.0669569815649487</v>
      </c>
    </row>
    <row r="18" customFormat="false" ht="15" hidden="false" customHeight="false" outlineLevel="0" collapsed="false">
      <c r="A18" s="15" t="n">
        <f aca="false">DATE(2024,1,1)+11*31</f>
        <v>45633</v>
      </c>
      <c r="B18" s="16" t="n">
        <f aca="false">SUMIFS(Data!$F:$F,Data!$B:$B,$B$3,Data!$A:$A,DATE(YEAR($A18),MONTH($A18),1))</f>
        <v>1332519</v>
      </c>
      <c r="C18" s="18" t="n">
        <f aca="false">IFERROR((B18-B17)/B17,"")</f>
        <v>0.0351350511539746</v>
      </c>
    </row>
    <row r="19" customFormat="false" ht="15" hidden="false" customHeight="false" outlineLevel="0" collapsed="false">
      <c r="A19" s="15" t="n">
        <f aca="false">DATE(2024,1,1)+12*31</f>
        <v>45664</v>
      </c>
      <c r="B19" s="16" t="n">
        <f aca="false">SUMIFS(Data!$F:$F,Data!$B:$B,$B$3,Data!$A:$A,DATE(YEAR($A19),MONTH($A19),1))</f>
        <v>1748276.25</v>
      </c>
      <c r="C19" s="18" t="n">
        <f aca="false">IFERROR((B19-B18)/B18,"")</f>
        <v>0.312008496689353</v>
      </c>
    </row>
    <row r="20" customFormat="false" ht="15" hidden="false" customHeight="false" outlineLevel="0" collapsed="false">
      <c r="A20" s="15" t="n">
        <f aca="false">DATE(2024,1,1)+13*31</f>
        <v>45695</v>
      </c>
      <c r="B20" s="16" t="n">
        <f aca="false">SUMIFS(Data!$F:$F,Data!$B:$B,$B$3,Data!$A:$A,DATE(YEAR($A20),MONTH($A20),1))</f>
        <v>2017067.85</v>
      </c>
      <c r="C20" s="18" t="n">
        <f aca="false">IFERROR((B20-B19)/B19,"")</f>
        <v>0.153746640440834</v>
      </c>
    </row>
    <row r="21" customFormat="false" ht="15" hidden="false" customHeight="false" outlineLevel="0" collapsed="false">
      <c r="A21" s="15" t="n">
        <f aca="false">DATE(2024,1,1)+14*31</f>
        <v>45726</v>
      </c>
      <c r="B21" s="16" t="n">
        <f aca="false">SUMIFS(Data!$F:$F,Data!$B:$B,$B$3,Data!$A:$A,DATE(YEAR($A21),MONTH($A21),1))</f>
        <v>2139084.15</v>
      </c>
      <c r="C21" s="18" t="n">
        <f aca="false">IFERROR((B21-B20)/B20,"")</f>
        <v>0.0604919165213009</v>
      </c>
    </row>
    <row r="22" customFormat="false" ht="15" hidden="false" customHeight="false" outlineLevel="0" collapsed="false">
      <c r="A22" s="15" t="n">
        <f aca="false">DATE(2024,1,1)+15*31</f>
        <v>45757</v>
      </c>
      <c r="B22" s="16" t="n">
        <f aca="false">SUMIFS(Data!$F:$F,Data!$B:$B,$B$3,Data!$A:$A,DATE(YEAR($A22),MONTH($A22),1))</f>
        <v>2213979.6</v>
      </c>
      <c r="C22" s="18" t="n">
        <f aca="false">IFERROR((B22-B21)/B21,"")</f>
        <v>0.0350128581898006</v>
      </c>
    </row>
    <row r="23" customFormat="false" ht="15" hidden="false" customHeight="false" outlineLevel="0" collapsed="false">
      <c r="A23" s="15" t="n">
        <f aca="false">DATE(2024,1,1)+16*31</f>
        <v>45788</v>
      </c>
      <c r="B23" s="16" t="n">
        <f aca="false">SUMIFS(Data!$F:$F,Data!$B:$B,$B$3,Data!$A:$A,DATE(YEAR($A23),MONTH($A23),1))</f>
        <v>2112317.55</v>
      </c>
      <c r="C23" s="18" t="n">
        <f aca="false">IFERROR((B23-B22)/B22,"")</f>
        <v>-0.0459182415230927</v>
      </c>
    </row>
    <row r="24" customFormat="false" ht="15" hidden="false" customHeight="false" outlineLevel="0" collapsed="false">
      <c r="A24" s="15" t="n">
        <f aca="false">DATE(2024,1,1)+17*31</f>
        <v>45819</v>
      </c>
      <c r="B24" s="16" t="n">
        <f aca="false">SUMIFS(Data!$F:$F,Data!$B:$B,$B$3,Data!$A:$A,DATE(YEAR($A24),MONTH($A24),1))</f>
        <v>1914902.85</v>
      </c>
      <c r="C24" s="18" t="n">
        <f aca="false">IFERROR((B24-B23)/B23,"")</f>
        <v>-0.0934588173070852</v>
      </c>
    </row>
    <row r="25" customFormat="false" ht="15" hidden="false" customHeight="false" outlineLevel="0" collapsed="false">
      <c r="A25" s="15" t="n">
        <f aca="false">DATE(2024,1,1)+18*31</f>
        <v>45850</v>
      </c>
      <c r="B25" s="16" t="n">
        <f aca="false">SUMIFS(Data!$F:$F,Data!$B:$B,$B$3,Data!$A:$A,DATE(YEAR($A25),MONTH($A25),1))</f>
        <v>1749527.85</v>
      </c>
      <c r="C25" s="18" t="n">
        <f aca="false">IFERROR((B25-B24)/B24,"")</f>
        <v>-0.0863620835908203</v>
      </c>
    </row>
    <row r="26" customFormat="false" ht="15" hidden="false" customHeight="false" outlineLevel="0" collapsed="false">
      <c r="A26" s="15" t="n">
        <f aca="false">DATE(2024,1,1)+19*31</f>
        <v>45881</v>
      </c>
      <c r="B26" s="16" t="n">
        <f aca="false">SUMIFS(Data!$F:$F,Data!$B:$B,$B$3,Data!$A:$A,DATE(YEAR($A26),MONTH($A26),1))</f>
        <v>1491957.6</v>
      </c>
      <c r="C26" s="18" t="n">
        <f aca="false">IFERROR((B26-B25)/B25,"")</f>
        <v>-0.147222720690042</v>
      </c>
    </row>
    <row r="27" customFormat="false" ht="15" hidden="false" customHeight="false" outlineLevel="0" collapsed="false">
      <c r="A27" s="15" t="n">
        <f aca="false">DATE(2024,1,1)+20*31</f>
        <v>45912</v>
      </c>
      <c r="B27" s="16" t="n">
        <f aca="false">SUMIFS(Data!$F:$F,Data!$B:$B,$B$3,Data!$A:$A,DATE(YEAR($A27),MONTH($A27),1))</f>
        <v>0</v>
      </c>
      <c r="C27" s="18" t="n">
        <f aca="false">IFERROR((B27-B26)/B26,"")</f>
        <v>-1</v>
      </c>
    </row>
    <row r="28" customFormat="false" ht="15" hidden="false" customHeight="false" outlineLevel="0" collapsed="false">
      <c r="A28" s="15" t="n">
        <f aca="false">DATE(2024,1,1)+21*31</f>
        <v>45943</v>
      </c>
      <c r="B28" s="16" t="n">
        <f aca="false">SUMIFS(Data!$F:$F,Data!$B:$B,$B$3,Data!$A:$A,DATE(YEAR($A28),MONTH($A28),1))</f>
        <v>1379749.35</v>
      </c>
      <c r="C28" s="18" t="str">
        <f aca="false">IFERROR((B28-B27)/B27,"")</f>
        <v/>
      </c>
    </row>
    <row r="29" customFormat="false" ht="15" hidden="false" customHeight="false" outlineLevel="0" collapsed="false">
      <c r="A29" s="15" t="n">
        <f aca="false">DATE(2024,1,1)+22*31</f>
        <v>45974</v>
      </c>
      <c r="B29" s="16" t="n">
        <f aca="false">SUMIFS(Data!$F:$F,Data!$B:$B,$B$3,Data!$A:$A,DATE(YEAR($A29),MONTH($A29),1))</f>
        <v>1318061.85</v>
      </c>
      <c r="C29" s="18" t="n">
        <f aca="false">IFERROR((B29-B28)/B28,"")</f>
        <v>-0.0447092075093204</v>
      </c>
    </row>
    <row r="30" customFormat="false" ht="15" hidden="false" customHeight="false" outlineLevel="0" collapsed="false">
      <c r="A30" s="15" t="n">
        <f aca="false">DATE(2024,1,1)+23*31</f>
        <v>46005</v>
      </c>
      <c r="B30" s="16" t="n">
        <f aca="false">SUMIFS(Data!$F:$F,Data!$B:$B,$B$3,Data!$A:$A,DATE(YEAR($A30),MONTH($A30),1))</f>
        <v>1366586.55</v>
      </c>
      <c r="C30" s="18" t="n">
        <f aca="false">IFERROR((B30-B29)/B29,"")</f>
        <v>0.0368151919426239</v>
      </c>
    </row>
    <row r="32" customFormat="false" ht="15" hidden="false" customHeight="false" outlineLevel="0" collapsed="false">
      <c r="A32" s="9" t="s">
        <v>33</v>
      </c>
    </row>
    <row r="33" customFormat="false" ht="21.75" hidden="false" customHeight="true" outlineLevel="0" collapsed="false">
      <c r="A33" s="1" t="s">
        <v>2</v>
      </c>
      <c r="B33" s="1" t="s">
        <v>34</v>
      </c>
    </row>
    <row r="34" customFormat="false" ht="15" hidden="false" customHeight="false" outlineLevel="0" collapsed="false">
      <c r="A34" s="0" t="s">
        <v>7</v>
      </c>
      <c r="B34" s="4" t="n">
        <f aca="false">SUMIFS(Data!$F:$F,Data!$B:$B,$B$3,Data!$C:$C,$A34)</f>
        <v>6864570.2025</v>
      </c>
    </row>
    <row r="35" customFormat="false" ht="15" hidden="false" customHeight="false" outlineLevel="0" collapsed="false">
      <c r="A35" s="0" t="s">
        <v>8</v>
      </c>
      <c r="B35" s="4" t="n">
        <f aca="false">SUMIFS(Data!$F:$F,Data!$B:$B,$B$3,Data!$C:$C,$A35)</f>
        <v>7715161.805</v>
      </c>
    </row>
    <row r="36" customFormat="false" ht="15" hidden="false" customHeight="false" outlineLevel="0" collapsed="false">
      <c r="A36" s="0" t="s">
        <v>9</v>
      </c>
      <c r="B36" s="4" t="n">
        <f aca="false">SUMIFS(Data!$F:$F,Data!$B:$B,$B$3,Data!$C:$C,$A36)</f>
        <v>8698248.7075</v>
      </c>
    </row>
    <row r="37" customFormat="false" ht="15" hidden="false" customHeight="false" outlineLevel="0" collapsed="false">
      <c r="A37" s="0" t="s">
        <v>10</v>
      </c>
      <c r="B37" s="4" t="n">
        <f aca="false">SUMIFS(Data!$F:$F,Data!$B:$B,$B$3,Data!$C:$C,$A37)</f>
        <v>8948375.8725</v>
      </c>
    </row>
    <row r="38" customFormat="false" ht="15" hidden="false" customHeight="false" outlineLevel="0" collapsed="false">
      <c r="A38" s="0" t="s">
        <v>11</v>
      </c>
      <c r="B38" s="4" t="n">
        <f aca="false">SUMIFS(Data!$F:$F,Data!$B:$B,$B$3,Data!$C:$C,$A38)</f>
        <v>8330592.985</v>
      </c>
    </row>
  </sheetData>
  <conditionalFormatting sqref="C8:C30">
    <cfRule type="colorScale" priority="2">
      <colorScale>
        <cfvo type="num" val="-0.2"/>
        <cfvo type="num" val="0"/>
        <cfvo type="num" val="0.2"/>
        <color rgb="FFEF4444"/>
        <color rgb="FFFFFFFF"/>
        <color rgb="FF22C55E"/>
      </colorScale>
    </cfRule>
  </conditionalFormatting>
  <dataValidations count="1">
    <dataValidation allowBlank="false" errorStyle="stop" operator="between" showDropDown="false" showErrorMessage="false" showInputMessage="false" sqref="B3" type="list">
      <formula1>Assumptions!$A$4:$A$6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LibreOffice/7.3.7.2$Linux_AARCH64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2026-04-11T19:09:59Z</dcterms:created>
  <dc:creator>openpyxl</dc:creator>
  <dc:description/>
  <dc:language>en-US</dc:language>
  <cp:lastModifiedBy/>
  <dcterms:modified xsi:type="dcterms:W3CDTF">2026-04-12T03:10:12Z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