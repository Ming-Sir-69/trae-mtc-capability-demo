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QualityGate" sheetId="4" state="visible" r:id="rId4"/>
    <sheet xmlns:r="http://schemas.openxmlformats.org/officeDocument/2006/relationships" name="Explai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0.0%"/>
  </numFmts>
  <fonts count="2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Cambria"/>
      <charset val="1"/>
      <family val="0"/>
      <b val="1"/>
      <color rgb="FFFFFFFF"/>
      <sz val="11"/>
    </font>
    <font>
      <name val="Noto Sans CJK SC"/>
      <family val="2"/>
      <color rgb="FF000000"/>
      <sz val="11"/>
    </font>
    <font>
      <name val="Noto Sans CJK SC"/>
      <family val="2"/>
      <b val="1"/>
      <color rgb="FF1E3A8A"/>
      <sz val="22"/>
    </font>
    <font>
      <name val="Noto Sans CJK SC"/>
      <family val="2"/>
      <b val="1"/>
      <color rgb="FF92400E"/>
      <sz val="11"/>
    </font>
    <font>
      <name val="Noto Sans CJK SC"/>
      <family val="2"/>
      <b val="1"/>
      <color rgb="FF1E3A8A"/>
      <sz val="14"/>
    </font>
    <font>
      <name val="Cambria"/>
      <charset val="1"/>
      <family val="0"/>
      <b val="1"/>
      <sz val="11"/>
    </font>
    <font>
      <name val="Noto Sans CJK SC"/>
      <family val="2"/>
      <b val="1"/>
      <sz val="11"/>
    </font>
    <font>
      <name val="Cambria"/>
      <charset val="1"/>
      <family val="0"/>
      <b val="1"/>
      <color rgb="FF1E3A8A"/>
      <sz val="11"/>
    </font>
    <font>
      <name val="Cambria"/>
      <charset val="1"/>
      <family val="0"/>
      <b val="1"/>
      <color rgb="FF1E3A8A"/>
      <sz val="14"/>
    </font>
    <font>
      <name val="Noto Sans CJK SC"/>
      <family val="2"/>
      <b val="1"/>
      <color rgb="FF000000"/>
      <sz val="18"/>
    </font>
    <font>
      <name val="Calibri"/>
      <family val="2"/>
      <color rgb="FF000000"/>
      <sz val="10"/>
    </font>
    <font>
      <name val="Noto Sans CJK SC"/>
      <family val="2"/>
      <b val="1"/>
      <color rgb="FF000000"/>
      <sz val="10"/>
    </font>
    <font>
      <name val="Calibri"/>
      <family val="2"/>
      <b val="1"/>
      <color rgb="FF000000"/>
      <sz val="10"/>
    </font>
    <font>
      <name val="Calibri"/>
      <b val="1"/>
      <color rgb="00FFFFFF"/>
      <sz val="11"/>
    </font>
    <font>
      <name val="Calibri"/>
      <b val="1"/>
      <color rgb="001E3A8A"/>
      <sz val="12"/>
    </font>
    <font>
      <name val="Calibri"/>
      <b val="1"/>
      <color rgb="001E3A8A"/>
    </font>
    <font>
      <name val="Calibri"/>
      <b val="1"/>
    </font>
    <font>
      <name val="Calibri"/>
      <b val="1"/>
      <color rgb="00FFFFFF"/>
      <sz val="14"/>
    </font>
    <font>
      <name val="Calibri"/>
      <color rgb="00000000"/>
    </font>
    <font>
      <name val="Calibri"/>
      <color rgb="001D4ED8"/>
      <u val="single"/>
    </font>
  </fonts>
  <fills count="7">
    <fill>
      <patternFill/>
    </fill>
    <fill>
      <patternFill patternType="gray125"/>
    </fill>
    <fill>
      <patternFill patternType="solid">
        <fgColor rgb="FF1E40AF"/>
        <bgColor rgb="FF1E3A8A"/>
      </patternFill>
    </fill>
    <fill>
      <patternFill patternType="solid">
        <fgColor rgb="FFFEF3C7"/>
        <bgColor rgb="FFFFFF99"/>
      </patternFill>
    </fill>
    <fill>
      <patternFill patternType="solid">
        <fgColor rgb="FFDBEAFE"/>
        <bgColor rgb="FFD9D9D9"/>
      </patternFill>
    </fill>
    <fill>
      <patternFill patternType="solid">
        <fgColor rgb="001E40A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2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2" fillId="4" borderId="0" applyAlignment="1" pivotButton="0" quotePrefix="0" xfId="0">
      <alignment horizontal="general" vertical="bottom"/>
    </xf>
    <xf numFmtId="2" fontId="12" fillId="4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5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8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21" fillId="0" borderId="0" pivotButton="0" quotePrefix="0" xfId="0"/>
    <xf numFmtId="165" fontId="0" fillId="0" borderId="0" pivotButton="0" quotePrefix="0" xfId="0"/>
    <xf numFmtId="0" fontId="19" fillId="0" borderId="0" pivotButton="0" quotePrefix="0" xfId="0"/>
    <xf numFmtId="0" fontId="18" fillId="5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2" fillId="5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4" fillId="0" borderId="0" pivotButton="0" quotePrefix="0" xfId="0"/>
    <xf numFmtId="0" fontId="8" fillId="3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horizontal="left" vertical="center" wrapText="1"/>
    </xf>
    <xf numFmtId="3" fontId="12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12" fillId="4" borderId="0" applyAlignment="1" pivotButton="0" quotePrefix="0" xfId="0">
      <alignment horizontal="general" vertical="bottom"/>
    </xf>
    <xf numFmtId="2" fontId="12" fillId="4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5" fontId="0" fillId="0" borderId="0" applyAlignment="1" pivotButton="0" quotePrefix="0" xfId="0">
      <alignment horizontal="general" vertical="center"/>
    </xf>
    <xf numFmtId="0" fontId="22" fillId="5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3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E40AF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月度收入趋势（区域+产品）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'Analysis'!D6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'Analysis'!$A$7:$A$30</f>
            </numRef>
          </cat>
          <val>
            <numRef>
              <f>'Analysis'!$D$7:$D$30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收入(元)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月度收入趋势（按区域筛选）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Analysis!B6</f>
              <strCache>
                <ptCount val="1"/>
                <pt idx="0">
                  <v>收入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Analysis!$A$7:$A$30</f>
              <strCache>
                <ptCount val="24"/>
                <pt idx="0">
                  <v>2024-01</v>
                </pt>
                <pt idx="1">
                  <v>2024-02</v>
                </pt>
                <pt idx="2">
                  <v>2024-03</v>
                </pt>
                <pt idx="3">
                  <v>2024-04</v>
                </pt>
                <pt idx="4">
                  <v>2024-05</v>
                </pt>
                <pt idx="5">
                  <v>2024-06</v>
                </pt>
                <pt idx="6">
                  <v>2024-07</v>
                </pt>
                <pt idx="7">
                  <v>2024-08</v>
                </pt>
                <pt idx="8">
                  <v>2024-09</v>
                </pt>
                <pt idx="9">
                  <v>2024-10</v>
                </pt>
                <pt idx="10">
                  <v>2024-11</v>
                </pt>
                <pt idx="11">
                  <v>2024-12</v>
                </pt>
                <pt idx="12">
                  <v>2025-01</v>
                </pt>
                <pt idx="13">
                  <v>2025-02</v>
                </pt>
                <pt idx="14">
                  <v>2025-03</v>
                </pt>
                <pt idx="15">
                  <v>2025-04</v>
                </pt>
                <pt idx="16">
                  <v>2025-05</v>
                </pt>
                <pt idx="17">
                  <v>2025-06</v>
                </pt>
                <pt idx="18">
                  <v>2025-07</v>
                </pt>
                <pt idx="19">
                  <v>2025-08</v>
                </pt>
                <pt idx="20">
                  <v>2025-09</v>
                </pt>
                <pt idx="21">
                  <v>2025-10</v>
                </pt>
                <pt idx="22">
                  <v>2025-11</v>
                </pt>
                <pt idx="23">
                  <v>2025-12</v>
                </pt>
              </strCache>
            </strRef>
          </cat>
          <val>
            <numRef>
              <f>Analysis!$B$7:$B$30</f>
              <numCache>
                <formatCode>General</formatCode>
                <ptCount val="24"/>
                <pt idx="0">
                  <v>1569530</v>
                </pt>
                <pt idx="1">
                  <v>1802966</v>
                </pt>
                <pt idx="2">
                  <v>2094359</v>
                </pt>
                <pt idx="3">
                  <v>1938900</v>
                </pt>
                <pt idx="4">
                  <v>2124368</v>
                </pt>
                <pt idx="5">
                  <v>1809056</v>
                </pt>
                <pt idx="6">
                  <v>1591262</v>
                </pt>
                <pt idx="7">
                  <v>1436493</v>
                </pt>
                <pt idx="8">
                  <v>1283919</v>
                </pt>
                <pt idx="9">
                  <v>1206506</v>
                </pt>
                <pt idx="10">
                  <v>1287290</v>
                </pt>
                <pt idx="11">
                  <v>1332519</v>
                </pt>
                <pt idx="12">
                  <v>1748276.25</v>
                </pt>
                <pt idx="13">
                  <v>2017067.85</v>
                </pt>
                <pt idx="14">
                  <v>2139084.15</v>
                </pt>
                <pt idx="15">
                  <v>2213979.6</v>
                </pt>
                <pt idx="16">
                  <v>2112317.55</v>
                </pt>
                <pt idx="17">
                  <v>1914902.85</v>
                </pt>
                <pt idx="18">
                  <v>1749527.85</v>
                </pt>
                <pt idx="19">
                  <v>1491957.6</v>
                </pt>
                <pt idx="20">
                  <v>0</v>
                </pt>
                <pt idx="21">
                  <v>1379749.35</v>
                </pt>
                <pt idx="22">
                  <v>1318061.85</v>
                </pt>
                <pt idx="23">
                  <v>1366586.55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5002527"/>
        <axId val="99880199"/>
      </lineChart>
      <catAx>
        <axId val="6500252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月份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9880199"/>
        <crosses val="autoZero"/>
        <auto val="1"/>
        <lblAlgn val="ctr"/>
        <lblOffset val="100"/>
        <noMultiLvlLbl val="0"/>
      </catAx>
      <valAx>
        <axId val="9988019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收入(元)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50025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产品累计收入（当前区域）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Analysis!B33</f>
              <strCache>
                <ptCount val="1"/>
                <pt idx="0">
                  <v>累计收入(元)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Analysis!$A$34:$A$38</f>
              <strCache>
                <ptCount val="5"/>
                <pt idx="0">
                  <v>Alpha</v>
                </pt>
                <pt idx="1">
                  <v>Beta</v>
                </pt>
                <pt idx="2">
                  <v>Gamma</v>
                </pt>
                <pt idx="3">
                  <v>Delta</v>
                </pt>
                <pt idx="4">
                  <v>Epsilon</v>
                </pt>
              </strCache>
            </strRef>
          </cat>
          <val>
            <numRef>
              <f>Analysis!$B$34:$B$38</f>
              <numCache>
                <formatCode>General</formatCode>
                <ptCount val="5"/>
                <pt idx="0">
                  <v>6864570.2025</v>
                </pt>
                <pt idx="1">
                  <v>7715161.805</v>
                </pt>
                <pt idx="2">
                  <v>8698248.7075</v>
                </pt>
                <pt idx="3">
                  <v>8948375.872500001</v>
                </pt>
                <pt idx="4">
                  <v>8330592.985</v>
                </pt>
              </numCache>
            </numRef>
          </val>
        </ser>
        <gapWidth val="150"/>
        <overlap val="0"/>
        <axId val="17207818"/>
        <axId val="56697284"/>
      </barChart>
      <catAx>
        <axId val="1720781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产品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6697284"/>
        <crosses val="autoZero"/>
        <auto val="1"/>
        <lblAlgn val="ctr"/>
        <lblOffset val="100"/>
        <noMultiLvlLbl val="0"/>
      </catAx>
      <valAx>
        <axId val="5669728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收入(元)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72078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7</row>
      <rowOff>0</rowOff>
    </from>
    <to>
      <col>12</col>
      <colOff>342720</colOff>
      <row>25</row>
      <rowOff>170640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0</colOff>
      <row>22</row>
      <rowOff>0</rowOff>
    </from>
    <to>
      <col>12</col>
      <colOff>342720</colOff>
      <row>40</row>
      <rowOff>84960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oneCellAnchor>
    <from>
      <col>4</col>
      <colOff>0</colOff>
      <row>41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49530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Data" displayName="tblData" ref="A1:F361" headerRowCount="1">
  <autoFilter ref="A1:F361"/>
  <tableColumns count="6">
    <tableColumn id="1" name="日期"/>
    <tableColumn id="2" name="区域"/>
    <tableColumn id="3" name="产品"/>
    <tableColumn id="4" name="销量(件)"/>
    <tableColumn id="5" name="单价(元)"/>
    <tableColumn id="6" name="收入(元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interactive/3D_&#21487;&#20132;&#20114;&#38144;&#21806;&#20202;&#34920;&#30424;.html" TargetMode="External" Id="rId1"/><Relationship Type="http://schemas.openxmlformats.org/officeDocument/2006/relationships/hyperlink" Target="assets/MTC_&#22797;&#26434;Excel&#27169;&#22411;.pdf" TargetMode="External" Id="rId2"/><Relationship Type="http://schemas.openxmlformats.org/officeDocument/2006/relationships/drawing" Target="/xl/drawings/drawing1.xml" Id="rId3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19" min="1" max="1"/>
    <col width="10" customWidth="1" style="19" min="2" max="2"/>
    <col width="12" customWidth="1" style="19" min="3" max="3"/>
    <col width="10" customWidth="1" style="19" min="4" max="4"/>
    <col width="12" customWidth="1" style="19" min="5" max="5"/>
    <col width="14" customWidth="1" style="19" min="6" max="6"/>
  </cols>
  <sheetData>
    <row r="1" ht="21.75" customHeight="1" s="20">
      <c r="A1" s="21" t="inlineStr">
        <is>
          <t>日期</t>
        </is>
      </c>
      <c r="B1" s="21" t="inlineStr">
        <is>
          <t>区域</t>
        </is>
      </c>
      <c r="C1" s="21" t="inlineStr">
        <is>
          <t>产品</t>
        </is>
      </c>
      <c r="D1" s="21" t="inlineStr">
        <is>
          <t>销量(件)</t>
        </is>
      </c>
      <c r="E1" s="21" t="inlineStr">
        <is>
          <t>单价(元)</t>
        </is>
      </c>
      <c r="F1" s="21" t="inlineStr">
        <is>
          <t>收入(元)</t>
        </is>
      </c>
    </row>
    <row r="2" ht="15" customHeight="1" s="20">
      <c r="A2" s="22" t="n">
        <v>45292</v>
      </c>
      <c r="B2" s="23" t="inlineStr">
        <is>
          <t>华东</t>
        </is>
      </c>
      <c r="C2" s="19" t="inlineStr">
        <is>
          <t>Alpha</t>
        </is>
      </c>
      <c r="D2" s="24" t="n">
        <v>2156</v>
      </c>
      <c r="E2" s="24">
        <f>INDEX(Assumptions!$E$4:$E$8,MATCH($C2,Assumptions!$D$4:$D$8,0))*(1+Assumptions!$B$10)^((YEAR($A2)-2024))*(1-Assumptions!$B$12)</f>
        <v/>
      </c>
      <c r="F2" s="24">
        <f>D2*E2</f>
        <v/>
      </c>
    </row>
    <row r="3" ht="15" customHeight="1" s="20">
      <c r="A3" s="22" t="n">
        <v>45292</v>
      </c>
      <c r="B3" s="23" t="inlineStr">
        <is>
          <t>华东</t>
        </is>
      </c>
      <c r="C3" s="19" t="inlineStr">
        <is>
          <t>Beta</t>
        </is>
      </c>
      <c r="D3" s="24" t="n">
        <v>1597</v>
      </c>
      <c r="E3" s="24">
        <f>INDEX(Assumptions!$E$4:$E$8,MATCH($C3,Assumptions!$D$4:$D$8,0))*(1+Assumptions!$B$10)^((YEAR($A3)-2024))*(1-Assumptions!$B$12)</f>
        <v/>
      </c>
      <c r="F3" s="24">
        <f>D3*E3</f>
        <v/>
      </c>
    </row>
    <row r="4" ht="15" customHeight="1" s="20">
      <c r="A4" s="22" t="n">
        <v>45292</v>
      </c>
      <c r="B4" s="23" t="inlineStr">
        <is>
          <t>华东</t>
        </is>
      </c>
      <c r="C4" s="19" t="inlineStr">
        <is>
          <t>Gamma</t>
        </is>
      </c>
      <c r="D4" s="24" t="n">
        <v>1640</v>
      </c>
      <c r="E4" s="24">
        <f>INDEX(Assumptions!$E$4:$E$8,MATCH($C4,Assumptions!$D$4:$D$8,0))*(1+Assumptions!$B$10)^((YEAR($A4)-2024))*(1-Assumptions!$B$12)</f>
        <v/>
      </c>
      <c r="F4" s="24">
        <f>D4*E4</f>
        <v/>
      </c>
    </row>
    <row r="5" ht="15" customHeight="1" s="20">
      <c r="A5" s="22" t="n">
        <v>45292</v>
      </c>
      <c r="B5" s="23" t="inlineStr">
        <is>
          <t>华东</t>
        </is>
      </c>
      <c r="C5" s="19" t="inlineStr">
        <is>
          <t>Delta</t>
        </is>
      </c>
      <c r="D5" s="24" t="n">
        <v>1328</v>
      </c>
      <c r="E5" s="24">
        <f>INDEX(Assumptions!$E$4:$E$8,MATCH($C5,Assumptions!$D$4:$D$8,0))*(1+Assumptions!$B$10)^((YEAR($A5)-2024))*(1-Assumptions!$B$12)</f>
        <v/>
      </c>
      <c r="F5" s="24">
        <f>D5*E5</f>
        <v/>
      </c>
    </row>
    <row r="6" ht="15" customHeight="1" s="20">
      <c r="A6" s="22" t="n">
        <v>45292</v>
      </c>
      <c r="B6" s="23" t="inlineStr">
        <is>
          <t>华东</t>
        </is>
      </c>
      <c r="C6" s="19" t="inlineStr">
        <is>
          <t>Epsilon</t>
        </is>
      </c>
      <c r="D6" s="24" t="n">
        <v>1219</v>
      </c>
      <c r="E6" s="24">
        <f>INDEX(Assumptions!$E$4:$E$8,MATCH($C6,Assumptions!$D$4:$D$8,0))*(1+Assumptions!$B$10)^((YEAR($A6)-2024))*(1-Assumptions!$B$12)</f>
        <v/>
      </c>
      <c r="F6" s="24">
        <f>D6*E6</f>
        <v/>
      </c>
    </row>
    <row r="7" ht="15" customHeight="1" s="20">
      <c r="A7" s="22" t="n">
        <v>45292</v>
      </c>
      <c r="B7" s="23" t="inlineStr">
        <is>
          <t>华南</t>
        </is>
      </c>
      <c r="C7" s="19" t="inlineStr">
        <is>
          <t>Alpha</t>
        </is>
      </c>
      <c r="D7" s="24" t="n">
        <v>1895</v>
      </c>
      <c r="E7" s="24">
        <f>INDEX(Assumptions!$E$4:$E$8,MATCH($C7,Assumptions!$D$4:$D$8,0))*(1+Assumptions!$B$10)^((YEAR($A7)-2024))*(1-Assumptions!$B$12)</f>
        <v/>
      </c>
      <c r="F7" s="24">
        <f>D7*E7</f>
        <v/>
      </c>
    </row>
    <row r="8" ht="15" customHeight="1" s="20">
      <c r="A8" s="22" t="n">
        <v>45292</v>
      </c>
      <c r="B8" s="23" t="inlineStr">
        <is>
          <t>华南</t>
        </is>
      </c>
      <c r="C8" s="19" t="inlineStr">
        <is>
          <t>Beta</t>
        </is>
      </c>
      <c r="D8" s="24" t="n">
        <v>1810</v>
      </c>
      <c r="E8" s="24">
        <f>INDEX(Assumptions!$E$4:$E$8,MATCH($C8,Assumptions!$D$4:$D$8,0))*(1+Assumptions!$B$10)^((YEAR($A8)-2024))*(1-Assumptions!$B$12)</f>
        <v/>
      </c>
      <c r="F8" s="24">
        <f>D8*E8</f>
        <v/>
      </c>
    </row>
    <row r="9" ht="15" customHeight="1" s="20">
      <c r="A9" s="22" t="n">
        <v>45292</v>
      </c>
      <c r="B9" s="23" t="inlineStr">
        <is>
          <t>华南</t>
        </is>
      </c>
      <c r="C9" s="19" t="inlineStr">
        <is>
          <t>Gamma</t>
        </is>
      </c>
      <c r="D9" s="24" t="n">
        <v>1340</v>
      </c>
      <c r="E9" s="24">
        <f>INDEX(Assumptions!$E$4:$E$8,MATCH($C9,Assumptions!$D$4:$D$8,0))*(1+Assumptions!$B$10)^((YEAR($A9)-2024))*(1-Assumptions!$B$12)</f>
        <v/>
      </c>
      <c r="F9" s="24">
        <f>D9*E9</f>
        <v/>
      </c>
    </row>
    <row r="10" ht="15" customHeight="1" s="20">
      <c r="A10" s="22" t="n">
        <v>45292</v>
      </c>
      <c r="B10" s="23" t="inlineStr">
        <is>
          <t>华南</t>
        </is>
      </c>
      <c r="C10" s="19" t="inlineStr">
        <is>
          <t>Delta</t>
        </is>
      </c>
      <c r="D10" s="24" t="n">
        <v>1230</v>
      </c>
      <c r="E10" s="24">
        <f>INDEX(Assumptions!$E$4:$E$8,MATCH($C10,Assumptions!$D$4:$D$8,0))*(1+Assumptions!$B$10)^((YEAR($A10)-2024))*(1-Assumptions!$B$12)</f>
        <v/>
      </c>
      <c r="F10" s="24">
        <f>D10*E10</f>
        <v/>
      </c>
    </row>
    <row r="11" ht="15" customHeight="1" s="20">
      <c r="A11" s="22" t="n">
        <v>45292</v>
      </c>
      <c r="B11" s="23" t="inlineStr">
        <is>
          <t>华南</t>
        </is>
      </c>
      <c r="C11" s="19" t="inlineStr">
        <is>
          <t>Epsilon</t>
        </is>
      </c>
      <c r="D11" s="24" t="n">
        <v>850</v>
      </c>
      <c r="E11" s="24">
        <f>INDEX(Assumptions!$E$4:$E$8,MATCH($C11,Assumptions!$D$4:$D$8,0))*(1+Assumptions!$B$10)^((YEAR($A11)-2024))*(1-Assumptions!$B$12)</f>
        <v/>
      </c>
      <c r="F11" s="24">
        <f>D11*E11</f>
        <v/>
      </c>
    </row>
    <row r="12" ht="15" customHeight="1" s="20">
      <c r="A12" s="22" t="n">
        <v>45292</v>
      </c>
      <c r="B12" s="23" t="inlineStr">
        <is>
          <t>华北</t>
        </is>
      </c>
      <c r="C12" s="19" t="inlineStr">
        <is>
          <t>Alpha</t>
        </is>
      </c>
      <c r="D12" s="24" t="n">
        <v>1483</v>
      </c>
      <c r="E12" s="24">
        <f>INDEX(Assumptions!$E$4:$E$8,MATCH($C12,Assumptions!$D$4:$D$8,0))*(1+Assumptions!$B$10)^((YEAR($A12)-2024))*(1-Assumptions!$B$12)</f>
        <v/>
      </c>
      <c r="F12" s="24">
        <f>D12*E12</f>
        <v/>
      </c>
    </row>
    <row r="13" ht="15" customHeight="1" s="20">
      <c r="A13" s="22" t="n">
        <v>45292</v>
      </c>
      <c r="B13" s="23" t="inlineStr">
        <is>
          <t>华北</t>
        </is>
      </c>
      <c r="C13" s="19" t="inlineStr">
        <is>
          <t>Beta</t>
        </is>
      </c>
      <c r="D13" s="24" t="n">
        <v>1460</v>
      </c>
      <c r="E13" s="24">
        <f>INDEX(Assumptions!$E$4:$E$8,MATCH($C13,Assumptions!$D$4:$D$8,0))*(1+Assumptions!$B$10)^((YEAR($A13)-2024))*(1-Assumptions!$B$12)</f>
        <v/>
      </c>
      <c r="F13" s="24">
        <f>D13*E13</f>
        <v/>
      </c>
    </row>
    <row r="14" ht="15" customHeight="1" s="20">
      <c r="A14" s="22" t="n">
        <v>45292</v>
      </c>
      <c r="B14" s="23" t="inlineStr">
        <is>
          <t>华北</t>
        </is>
      </c>
      <c r="C14" s="19" t="inlineStr">
        <is>
          <t>Gamma</t>
        </is>
      </c>
      <c r="D14" s="24" t="n">
        <v>1181</v>
      </c>
      <c r="E14" s="24">
        <f>INDEX(Assumptions!$E$4:$E$8,MATCH($C14,Assumptions!$D$4:$D$8,0))*(1+Assumptions!$B$10)^((YEAR($A14)-2024))*(1-Assumptions!$B$12)</f>
        <v/>
      </c>
      <c r="F14" s="24">
        <f>D14*E14</f>
        <v/>
      </c>
    </row>
    <row r="15" ht="15" customHeight="1" s="20">
      <c r="A15" s="22" t="n">
        <v>45292</v>
      </c>
      <c r="B15" s="23" t="inlineStr">
        <is>
          <t>华北</t>
        </is>
      </c>
      <c r="C15" s="19" t="inlineStr">
        <is>
          <t>Delta</t>
        </is>
      </c>
      <c r="D15" s="24" t="n">
        <v>1031</v>
      </c>
      <c r="E15" s="24">
        <f>INDEX(Assumptions!$E$4:$E$8,MATCH($C15,Assumptions!$D$4:$D$8,0))*(1+Assumptions!$B$10)^((YEAR($A15)-2024))*(1-Assumptions!$B$12)</f>
        <v/>
      </c>
      <c r="F15" s="24">
        <f>D15*E15</f>
        <v/>
      </c>
    </row>
    <row r="16" ht="15" customHeight="1" s="20">
      <c r="A16" s="22" t="n">
        <v>45292</v>
      </c>
      <c r="B16" s="23" t="inlineStr">
        <is>
          <t>华北</t>
        </is>
      </c>
      <c r="C16" s="19" t="inlineStr">
        <is>
          <t>Epsilon</t>
        </is>
      </c>
      <c r="D16" s="24" t="n">
        <v>931</v>
      </c>
      <c r="E16" s="24">
        <f>INDEX(Assumptions!$E$4:$E$8,MATCH($C16,Assumptions!$D$4:$D$8,0))*(1+Assumptions!$B$10)^((YEAR($A16)-2024))*(1-Assumptions!$B$12)</f>
        <v/>
      </c>
      <c r="F16" s="24">
        <f>D16*E16</f>
        <v/>
      </c>
    </row>
    <row r="17" ht="15" customHeight="1" s="20">
      <c r="A17" s="22" t="n">
        <v>45323</v>
      </c>
      <c r="B17" s="23" t="inlineStr">
        <is>
          <t>华东</t>
        </is>
      </c>
      <c r="C17" s="19" t="inlineStr">
        <is>
          <t>Alpha</t>
        </is>
      </c>
      <c r="D17" s="24" t="n">
        <v>2360</v>
      </c>
      <c r="E17" s="24">
        <f>INDEX(Assumptions!$E$4:$E$8,MATCH($C17,Assumptions!$D$4:$D$8,0))*(1+Assumptions!$B$10)^((YEAR($A17)-2024))*(1-Assumptions!$B$12)</f>
        <v/>
      </c>
      <c r="F17" s="24">
        <f>D17*E17</f>
        <v/>
      </c>
    </row>
    <row r="18" ht="15" customHeight="1" s="20">
      <c r="A18" s="22" t="n">
        <v>45323</v>
      </c>
      <c r="B18" s="23" t="inlineStr">
        <is>
          <t>华东</t>
        </is>
      </c>
      <c r="C18" s="19" t="inlineStr">
        <is>
          <t>Beta</t>
        </is>
      </c>
      <c r="D18" s="24" t="n">
        <v>1920</v>
      </c>
      <c r="E18" s="24">
        <f>INDEX(Assumptions!$E$4:$E$8,MATCH($C18,Assumptions!$D$4:$D$8,0))*(1+Assumptions!$B$10)^((YEAR($A18)-2024))*(1-Assumptions!$B$12)</f>
        <v/>
      </c>
      <c r="F18" s="24">
        <f>D18*E18</f>
        <v/>
      </c>
    </row>
    <row r="19" ht="15" customHeight="1" s="20">
      <c r="A19" s="22" t="n">
        <v>45323</v>
      </c>
      <c r="B19" s="23" t="inlineStr">
        <is>
          <t>华东</t>
        </is>
      </c>
      <c r="C19" s="19" t="inlineStr">
        <is>
          <t>Gamma</t>
        </is>
      </c>
      <c r="D19" s="24" t="n">
        <v>2032</v>
      </c>
      <c r="E19" s="24">
        <f>INDEX(Assumptions!$E$4:$E$8,MATCH($C19,Assumptions!$D$4:$D$8,0))*(1+Assumptions!$B$10)^((YEAR($A19)-2024))*(1-Assumptions!$B$12)</f>
        <v/>
      </c>
      <c r="F19" s="24">
        <f>D19*E19</f>
        <v/>
      </c>
    </row>
    <row r="20" ht="15" customHeight="1" s="20">
      <c r="A20" s="22" t="n">
        <v>45323</v>
      </c>
      <c r="B20" s="23" t="inlineStr">
        <is>
          <t>华东</t>
        </is>
      </c>
      <c r="C20" s="19" t="inlineStr">
        <is>
          <t>Delta</t>
        </is>
      </c>
      <c r="D20" s="24" t="n">
        <v>1781</v>
      </c>
      <c r="E20" s="24">
        <f>INDEX(Assumptions!$E$4:$E$8,MATCH($C20,Assumptions!$D$4:$D$8,0))*(1+Assumptions!$B$10)^((YEAR($A20)-2024))*(1-Assumptions!$B$12)</f>
        <v/>
      </c>
      <c r="F20" s="24">
        <f>D20*E20</f>
        <v/>
      </c>
    </row>
    <row r="21" ht="15" customHeight="1" s="20">
      <c r="A21" s="22" t="n">
        <v>45323</v>
      </c>
      <c r="B21" s="23" t="inlineStr">
        <is>
          <t>华东</t>
        </is>
      </c>
      <c r="C21" s="19" t="inlineStr">
        <is>
          <t>Epsilon</t>
        </is>
      </c>
      <c r="D21" s="24" t="n">
        <v>1091</v>
      </c>
      <c r="E21" s="24">
        <f>INDEX(Assumptions!$E$4:$E$8,MATCH($C21,Assumptions!$D$4:$D$8,0))*(1+Assumptions!$B$10)^((YEAR($A21)-2024))*(1-Assumptions!$B$12)</f>
        <v/>
      </c>
      <c r="F21" s="24">
        <f>D21*E21</f>
        <v/>
      </c>
    </row>
    <row r="22" ht="15" customHeight="1" s="20">
      <c r="A22" s="22" t="n">
        <v>45323</v>
      </c>
      <c r="B22" s="23" t="inlineStr">
        <is>
          <t>华南</t>
        </is>
      </c>
      <c r="C22" s="19" t="inlineStr">
        <is>
          <t>Alpha</t>
        </is>
      </c>
      <c r="D22" s="24" t="n">
        <v>2210</v>
      </c>
      <c r="E22" s="24">
        <f>INDEX(Assumptions!$E$4:$E$8,MATCH($C22,Assumptions!$D$4:$D$8,0))*(1+Assumptions!$B$10)^((YEAR($A22)-2024))*(1-Assumptions!$B$12)</f>
        <v/>
      </c>
      <c r="F22" s="24">
        <f>D22*E22</f>
        <v/>
      </c>
    </row>
    <row r="23" ht="15" customHeight="1" s="20">
      <c r="A23" s="22" t="n">
        <v>45323</v>
      </c>
      <c r="B23" s="23" t="inlineStr">
        <is>
          <t>华南</t>
        </is>
      </c>
      <c r="C23" s="19" t="inlineStr">
        <is>
          <t>Beta</t>
        </is>
      </c>
      <c r="D23" s="24" t="n">
        <v>1930</v>
      </c>
      <c r="E23" s="24">
        <f>INDEX(Assumptions!$E$4:$E$8,MATCH($C23,Assumptions!$D$4:$D$8,0))*(1+Assumptions!$B$10)^((YEAR($A23)-2024))*(1-Assumptions!$B$12)</f>
        <v/>
      </c>
      <c r="F23" s="24">
        <f>D23*E23</f>
        <v/>
      </c>
    </row>
    <row r="24" ht="15" customHeight="1" s="20">
      <c r="A24" s="22" t="n">
        <v>45323</v>
      </c>
      <c r="B24" s="23" t="inlineStr">
        <is>
          <t>华南</t>
        </is>
      </c>
      <c r="C24" s="19" t="inlineStr">
        <is>
          <t>Gamma</t>
        </is>
      </c>
      <c r="D24" s="24" t="n">
        <v>1638</v>
      </c>
      <c r="E24" s="24">
        <f>INDEX(Assumptions!$E$4:$E$8,MATCH($C24,Assumptions!$D$4:$D$8,0))*(1+Assumptions!$B$10)^((YEAR($A24)-2024))*(1-Assumptions!$B$12)</f>
        <v/>
      </c>
      <c r="F24" s="24">
        <f>D24*E24</f>
        <v/>
      </c>
    </row>
    <row r="25" ht="15" customHeight="1" s="20">
      <c r="A25" s="22" t="n">
        <v>45323</v>
      </c>
      <c r="B25" s="23" t="inlineStr">
        <is>
          <t>华南</t>
        </is>
      </c>
      <c r="C25" s="19" t="inlineStr">
        <is>
          <t>Delta</t>
        </is>
      </c>
      <c r="D25" s="24" t="n">
        <v>1270</v>
      </c>
      <c r="E25" s="24">
        <f>INDEX(Assumptions!$E$4:$E$8,MATCH($C25,Assumptions!$D$4:$D$8,0))*(1+Assumptions!$B$10)^((YEAR($A25)-2024))*(1-Assumptions!$B$12)</f>
        <v/>
      </c>
      <c r="F25" s="24">
        <f>D25*E25</f>
        <v/>
      </c>
    </row>
    <row r="26" ht="15" customHeight="1" s="20">
      <c r="A26" s="22" t="n">
        <v>45323</v>
      </c>
      <c r="B26" s="23" t="inlineStr">
        <is>
          <t>华南</t>
        </is>
      </c>
      <c r="C26" s="19" t="inlineStr">
        <is>
          <t>Epsilon</t>
        </is>
      </c>
      <c r="D26" s="24" t="n">
        <v>1266</v>
      </c>
      <c r="E26" s="24">
        <f>INDEX(Assumptions!$E$4:$E$8,MATCH($C26,Assumptions!$D$4:$D$8,0))*(1+Assumptions!$B$10)^((YEAR($A26)-2024))*(1-Assumptions!$B$12)</f>
        <v/>
      </c>
      <c r="F26" s="24">
        <f>D26*E26</f>
        <v/>
      </c>
    </row>
    <row r="27" ht="15" customHeight="1" s="20">
      <c r="A27" s="22" t="n">
        <v>45323</v>
      </c>
      <c r="B27" s="23" t="inlineStr">
        <is>
          <t>华北</t>
        </is>
      </c>
      <c r="C27" s="19" t="inlineStr">
        <is>
          <t>Alpha</t>
        </is>
      </c>
      <c r="D27" s="24" t="n">
        <v>1733</v>
      </c>
      <c r="E27" s="24">
        <f>INDEX(Assumptions!$E$4:$E$8,MATCH($C27,Assumptions!$D$4:$D$8,0))*(1+Assumptions!$B$10)^((YEAR($A27)-2024))*(1-Assumptions!$B$12)</f>
        <v/>
      </c>
      <c r="F27" s="24">
        <f>D27*E27</f>
        <v/>
      </c>
    </row>
    <row r="28" ht="15" customHeight="1" s="20">
      <c r="A28" s="22" t="n">
        <v>45323</v>
      </c>
      <c r="B28" s="23" t="inlineStr">
        <is>
          <t>华北</t>
        </is>
      </c>
      <c r="C28" s="19" t="inlineStr">
        <is>
          <t>Beta</t>
        </is>
      </c>
      <c r="D28" s="24" t="n">
        <v>1439</v>
      </c>
      <c r="E28" s="24">
        <f>INDEX(Assumptions!$E$4:$E$8,MATCH($C28,Assumptions!$D$4:$D$8,0))*(1+Assumptions!$B$10)^((YEAR($A28)-2024))*(1-Assumptions!$B$12)</f>
        <v/>
      </c>
      <c r="F28" s="24">
        <f>D28*E28</f>
        <v/>
      </c>
    </row>
    <row r="29" ht="15" customHeight="1" s="20">
      <c r="A29" s="22" t="n">
        <v>45323</v>
      </c>
      <c r="B29" s="23" t="inlineStr">
        <is>
          <t>华北</t>
        </is>
      </c>
      <c r="C29" s="19" t="inlineStr">
        <is>
          <t>Gamma</t>
        </is>
      </c>
      <c r="D29" s="24" t="n">
        <v>1361</v>
      </c>
      <c r="E29" s="24">
        <f>INDEX(Assumptions!$E$4:$E$8,MATCH($C29,Assumptions!$D$4:$D$8,0))*(1+Assumptions!$B$10)^((YEAR($A29)-2024))*(1-Assumptions!$B$12)</f>
        <v/>
      </c>
      <c r="F29" s="24">
        <f>D29*E29</f>
        <v/>
      </c>
    </row>
    <row r="30" ht="15" customHeight="1" s="20">
      <c r="A30" s="22" t="n">
        <v>45323</v>
      </c>
      <c r="B30" s="23" t="inlineStr">
        <is>
          <t>华北</t>
        </is>
      </c>
      <c r="C30" s="19" t="inlineStr">
        <is>
          <t>Delta</t>
        </is>
      </c>
      <c r="D30" s="24" t="n">
        <v>1408</v>
      </c>
      <c r="E30" s="24">
        <f>INDEX(Assumptions!$E$4:$E$8,MATCH($C30,Assumptions!$D$4:$D$8,0))*(1+Assumptions!$B$10)^((YEAR($A30)-2024))*(1-Assumptions!$B$12)</f>
        <v/>
      </c>
      <c r="F30" s="24">
        <f>D30*E30</f>
        <v/>
      </c>
    </row>
    <row r="31" ht="15" customHeight="1" s="20">
      <c r="A31" s="22" t="n">
        <v>45323</v>
      </c>
      <c r="B31" s="23" t="inlineStr">
        <is>
          <t>华北</t>
        </is>
      </c>
      <c r="C31" s="19" t="inlineStr">
        <is>
          <t>Epsilon</t>
        </is>
      </c>
      <c r="D31" s="24" t="n">
        <v>1033</v>
      </c>
      <c r="E31" s="24">
        <f>INDEX(Assumptions!$E$4:$E$8,MATCH($C31,Assumptions!$D$4:$D$8,0))*(1+Assumptions!$B$10)^((YEAR($A31)-2024))*(1-Assumptions!$B$12)</f>
        <v/>
      </c>
      <c r="F31" s="24">
        <f>D31*E31</f>
        <v/>
      </c>
    </row>
    <row r="32" ht="15" customHeight="1" s="20">
      <c r="A32" s="22" t="n">
        <v>45352</v>
      </c>
      <c r="B32" s="23" t="inlineStr">
        <is>
          <t>华东</t>
        </is>
      </c>
      <c r="C32" s="19" t="inlineStr">
        <is>
          <t>Alpha</t>
        </is>
      </c>
      <c r="D32" s="24" t="n">
        <v>2750</v>
      </c>
      <c r="E32" s="24">
        <f>INDEX(Assumptions!$E$4:$E$8,MATCH($C32,Assumptions!$D$4:$D$8,0))*(1+Assumptions!$B$10)^((YEAR($A32)-2024))*(1-Assumptions!$B$12)</f>
        <v/>
      </c>
      <c r="F32" s="24">
        <f>D32*E32</f>
        <v/>
      </c>
    </row>
    <row r="33" ht="15" customHeight="1" s="20">
      <c r="A33" s="22" t="n">
        <v>45352</v>
      </c>
      <c r="B33" s="23" t="inlineStr">
        <is>
          <t>华东</t>
        </is>
      </c>
      <c r="C33" s="19" t="inlineStr">
        <is>
          <t>Beta</t>
        </is>
      </c>
      <c r="D33" s="24" t="n">
        <v>2422</v>
      </c>
      <c r="E33" s="24">
        <f>INDEX(Assumptions!$E$4:$E$8,MATCH($C33,Assumptions!$D$4:$D$8,0))*(1+Assumptions!$B$10)^((YEAR($A33)-2024))*(1-Assumptions!$B$12)</f>
        <v/>
      </c>
      <c r="F33" s="24">
        <f>D33*E33</f>
        <v/>
      </c>
    </row>
    <row r="34" ht="15" customHeight="1" s="20">
      <c r="A34" s="22" t="n">
        <v>45352</v>
      </c>
      <c r="B34" s="23" t="inlineStr">
        <is>
          <t>华东</t>
        </is>
      </c>
      <c r="C34" s="19" t="inlineStr">
        <is>
          <t>Gamma</t>
        </is>
      </c>
      <c r="D34" s="24" t="n">
        <v>2163</v>
      </c>
      <c r="E34" s="24">
        <f>INDEX(Assumptions!$E$4:$E$8,MATCH($C34,Assumptions!$D$4:$D$8,0))*(1+Assumptions!$B$10)^((YEAR($A34)-2024))*(1-Assumptions!$B$12)</f>
        <v/>
      </c>
      <c r="F34" s="24">
        <f>D34*E34</f>
        <v/>
      </c>
    </row>
    <row r="35" ht="15" customHeight="1" s="20">
      <c r="A35" s="22" t="n">
        <v>45352</v>
      </c>
      <c r="B35" s="23" t="inlineStr">
        <is>
          <t>华东</t>
        </is>
      </c>
      <c r="C35" s="19" t="inlineStr">
        <is>
          <t>Delta</t>
        </is>
      </c>
      <c r="D35" s="24" t="n">
        <v>2012</v>
      </c>
      <c r="E35" s="24">
        <f>INDEX(Assumptions!$E$4:$E$8,MATCH($C35,Assumptions!$D$4:$D$8,0))*(1+Assumptions!$B$10)^((YEAR($A35)-2024))*(1-Assumptions!$B$12)</f>
        <v/>
      </c>
      <c r="F35" s="24">
        <f>D35*E35</f>
        <v/>
      </c>
    </row>
    <row r="36" ht="15" customHeight="1" s="20">
      <c r="A36" s="22" t="n">
        <v>45352</v>
      </c>
      <c r="B36" s="23" t="inlineStr">
        <is>
          <t>华东</t>
        </is>
      </c>
      <c r="C36" s="19" t="inlineStr">
        <is>
          <t>Epsilon</t>
        </is>
      </c>
      <c r="D36" s="24" t="n">
        <v>1334</v>
      </c>
      <c r="E36" s="24">
        <f>INDEX(Assumptions!$E$4:$E$8,MATCH($C36,Assumptions!$D$4:$D$8,0))*(1+Assumptions!$B$10)^((YEAR($A36)-2024))*(1-Assumptions!$B$12)</f>
        <v/>
      </c>
      <c r="F36" s="24">
        <f>D36*E36</f>
        <v/>
      </c>
    </row>
    <row r="37" ht="15" customHeight="1" s="20">
      <c r="A37" s="22" t="n">
        <v>45352</v>
      </c>
      <c r="B37" s="23" t="inlineStr">
        <is>
          <t>华南</t>
        </is>
      </c>
      <c r="C37" s="19" t="inlineStr">
        <is>
          <t>Alpha</t>
        </is>
      </c>
      <c r="D37" s="24" t="n">
        <v>2223</v>
      </c>
      <c r="E37" s="24">
        <f>INDEX(Assumptions!$E$4:$E$8,MATCH($C37,Assumptions!$D$4:$D$8,0))*(1+Assumptions!$B$10)^((YEAR($A37)-2024))*(1-Assumptions!$B$12)</f>
        <v/>
      </c>
      <c r="F37" s="24">
        <f>D37*E37</f>
        <v/>
      </c>
    </row>
    <row r="38" ht="15" customHeight="1" s="20">
      <c r="A38" s="22" t="n">
        <v>45352</v>
      </c>
      <c r="B38" s="23" t="inlineStr">
        <is>
          <t>华南</t>
        </is>
      </c>
      <c r="C38" s="19" t="inlineStr">
        <is>
          <t>Beta</t>
        </is>
      </c>
      <c r="D38" s="24" t="n">
        <v>2165</v>
      </c>
      <c r="E38" s="24">
        <f>INDEX(Assumptions!$E$4:$E$8,MATCH($C38,Assumptions!$D$4:$D$8,0))*(1+Assumptions!$B$10)^((YEAR($A38)-2024))*(1-Assumptions!$B$12)</f>
        <v/>
      </c>
      <c r="F38" s="24">
        <f>D38*E38</f>
        <v/>
      </c>
    </row>
    <row r="39" ht="15" customHeight="1" s="20">
      <c r="A39" s="22" t="n">
        <v>45352</v>
      </c>
      <c r="B39" s="23" t="inlineStr">
        <is>
          <t>华南</t>
        </is>
      </c>
      <c r="C39" s="19" t="inlineStr">
        <is>
          <t>Gamma</t>
        </is>
      </c>
      <c r="D39" s="24" t="n">
        <v>1927</v>
      </c>
      <c r="E39" s="24">
        <f>INDEX(Assumptions!$E$4:$E$8,MATCH($C39,Assumptions!$D$4:$D$8,0))*(1+Assumptions!$B$10)^((YEAR($A39)-2024))*(1-Assumptions!$B$12)</f>
        <v/>
      </c>
      <c r="F39" s="24">
        <f>D39*E39</f>
        <v/>
      </c>
    </row>
    <row r="40" ht="15" customHeight="1" s="20">
      <c r="A40" s="22" t="n">
        <v>45352</v>
      </c>
      <c r="B40" s="23" t="inlineStr">
        <is>
          <t>华南</t>
        </is>
      </c>
      <c r="C40" s="19" t="inlineStr">
        <is>
          <t>Delta</t>
        </is>
      </c>
      <c r="D40" s="24" t="n">
        <v>1699</v>
      </c>
      <c r="E40" s="24">
        <f>INDEX(Assumptions!$E$4:$E$8,MATCH($C40,Assumptions!$D$4:$D$8,0))*(1+Assumptions!$B$10)^((YEAR($A40)-2024))*(1-Assumptions!$B$12)</f>
        <v/>
      </c>
      <c r="F40" s="24">
        <f>D40*E40</f>
        <v/>
      </c>
    </row>
    <row r="41" ht="15" customHeight="1" s="20">
      <c r="A41" s="22" t="n">
        <v>45352</v>
      </c>
      <c r="B41" s="23" t="inlineStr">
        <is>
          <t>华南</t>
        </is>
      </c>
      <c r="C41" s="19" t="inlineStr">
        <is>
          <t>Epsilon</t>
        </is>
      </c>
      <c r="D41" s="24" t="n">
        <v>1232</v>
      </c>
      <c r="E41" s="24">
        <f>INDEX(Assumptions!$E$4:$E$8,MATCH($C41,Assumptions!$D$4:$D$8,0))*(1+Assumptions!$B$10)^((YEAR($A41)-2024))*(1-Assumptions!$B$12)</f>
        <v/>
      </c>
      <c r="F41" s="24">
        <f>D41*E41</f>
        <v/>
      </c>
    </row>
    <row r="42" ht="15" customHeight="1" s="20">
      <c r="A42" s="22" t="n">
        <v>45352</v>
      </c>
      <c r="B42" s="23" t="inlineStr">
        <is>
          <t>华北</t>
        </is>
      </c>
      <c r="C42" s="19" t="inlineStr">
        <is>
          <t>Alpha</t>
        </is>
      </c>
      <c r="D42" s="24" t="n">
        <v>2091</v>
      </c>
      <c r="E42" s="24">
        <f>INDEX(Assumptions!$E$4:$E$8,MATCH($C42,Assumptions!$D$4:$D$8,0))*(1+Assumptions!$B$10)^((YEAR($A42)-2024))*(1-Assumptions!$B$12)</f>
        <v/>
      </c>
      <c r="F42" s="24">
        <f>D42*E42</f>
        <v/>
      </c>
    </row>
    <row r="43" ht="15" customHeight="1" s="20">
      <c r="A43" s="22" t="n">
        <v>45352</v>
      </c>
      <c r="B43" s="23" t="inlineStr">
        <is>
          <t>华北</t>
        </is>
      </c>
      <c r="C43" s="19" t="inlineStr">
        <is>
          <t>Beta</t>
        </is>
      </c>
      <c r="D43" s="24" t="n">
        <v>1531</v>
      </c>
      <c r="E43" s="24">
        <f>INDEX(Assumptions!$E$4:$E$8,MATCH($C43,Assumptions!$D$4:$D$8,0))*(1+Assumptions!$B$10)^((YEAR($A43)-2024))*(1-Assumptions!$B$12)</f>
        <v/>
      </c>
      <c r="F43" s="24">
        <f>D43*E43</f>
        <v/>
      </c>
    </row>
    <row r="44" ht="15" customHeight="1" s="20">
      <c r="A44" s="22" t="n">
        <v>45352</v>
      </c>
      <c r="B44" s="23" t="inlineStr">
        <is>
          <t>华北</t>
        </is>
      </c>
      <c r="C44" s="19" t="inlineStr">
        <is>
          <t>Gamma</t>
        </is>
      </c>
      <c r="D44" s="24" t="n">
        <v>1538</v>
      </c>
      <c r="E44" s="24">
        <f>INDEX(Assumptions!$E$4:$E$8,MATCH($C44,Assumptions!$D$4:$D$8,0))*(1+Assumptions!$B$10)^((YEAR($A44)-2024))*(1-Assumptions!$B$12)</f>
        <v/>
      </c>
      <c r="F44" s="24">
        <f>D44*E44</f>
        <v/>
      </c>
    </row>
    <row r="45" ht="15" customHeight="1" s="20">
      <c r="A45" s="22" t="n">
        <v>45352</v>
      </c>
      <c r="B45" s="23" t="inlineStr">
        <is>
          <t>华北</t>
        </is>
      </c>
      <c r="C45" s="19" t="inlineStr">
        <is>
          <t>Delta</t>
        </is>
      </c>
      <c r="D45" s="24" t="n">
        <v>1292</v>
      </c>
      <c r="E45" s="24">
        <f>INDEX(Assumptions!$E$4:$E$8,MATCH($C45,Assumptions!$D$4:$D$8,0))*(1+Assumptions!$B$10)^((YEAR($A45)-2024))*(1-Assumptions!$B$12)</f>
        <v/>
      </c>
      <c r="F45" s="24">
        <f>D45*E45</f>
        <v/>
      </c>
    </row>
    <row r="46" ht="15" customHeight="1" s="20">
      <c r="A46" s="22" t="n">
        <v>45352</v>
      </c>
      <c r="B46" s="23" t="inlineStr">
        <is>
          <t>华北</t>
        </is>
      </c>
      <c r="C46" s="19" t="inlineStr">
        <is>
          <t>Epsilon</t>
        </is>
      </c>
      <c r="D46" s="24" t="n">
        <v>947</v>
      </c>
      <c r="E46" s="24">
        <f>INDEX(Assumptions!$E$4:$E$8,MATCH($C46,Assumptions!$D$4:$D$8,0))*(1+Assumptions!$B$10)^((YEAR($A46)-2024))*(1-Assumptions!$B$12)</f>
        <v/>
      </c>
      <c r="F46" s="24">
        <f>D46*E46</f>
        <v/>
      </c>
    </row>
    <row r="47" ht="15" customHeight="1" s="20">
      <c r="A47" s="22" t="n">
        <v>45383</v>
      </c>
      <c r="B47" s="23" t="inlineStr">
        <is>
          <t>华东</t>
        </is>
      </c>
      <c r="C47" s="19" t="inlineStr">
        <is>
          <t>Alpha</t>
        </is>
      </c>
      <c r="D47" s="24" t="n">
        <v>2380</v>
      </c>
      <c r="E47" s="24">
        <f>INDEX(Assumptions!$E$4:$E$8,MATCH($C47,Assumptions!$D$4:$D$8,0))*(1+Assumptions!$B$10)^((YEAR($A47)-2024))*(1-Assumptions!$B$12)</f>
        <v/>
      </c>
      <c r="F47" s="24">
        <f>D47*E47</f>
        <v/>
      </c>
    </row>
    <row r="48" ht="15" customHeight="1" s="20">
      <c r="A48" s="22" t="n">
        <v>45383</v>
      </c>
      <c r="B48" s="23" t="inlineStr">
        <is>
          <t>华东</t>
        </is>
      </c>
      <c r="C48" s="19" t="inlineStr">
        <is>
          <t>Beta</t>
        </is>
      </c>
      <c r="D48" s="24" t="n">
        <v>2049</v>
      </c>
      <c r="E48" s="24">
        <f>INDEX(Assumptions!$E$4:$E$8,MATCH($C48,Assumptions!$D$4:$D$8,0))*(1+Assumptions!$B$10)^((YEAR($A48)-2024))*(1-Assumptions!$B$12)</f>
        <v/>
      </c>
      <c r="F48" s="24">
        <f>D48*E48</f>
        <v/>
      </c>
    </row>
    <row r="49" ht="15" customHeight="1" s="20">
      <c r="A49" s="22" t="n">
        <v>45383</v>
      </c>
      <c r="B49" s="23" t="inlineStr">
        <is>
          <t>华东</t>
        </is>
      </c>
      <c r="C49" s="19" t="inlineStr">
        <is>
          <t>Gamma</t>
        </is>
      </c>
      <c r="D49" s="24" t="n">
        <v>2052</v>
      </c>
      <c r="E49" s="24">
        <f>INDEX(Assumptions!$E$4:$E$8,MATCH($C49,Assumptions!$D$4:$D$8,0))*(1+Assumptions!$B$10)^((YEAR($A49)-2024))*(1-Assumptions!$B$12)</f>
        <v/>
      </c>
      <c r="F49" s="24">
        <f>D49*E49</f>
        <v/>
      </c>
    </row>
    <row r="50" ht="15" customHeight="1" s="20">
      <c r="A50" s="22" t="n">
        <v>45383</v>
      </c>
      <c r="B50" s="23" t="inlineStr">
        <is>
          <t>华东</t>
        </is>
      </c>
      <c r="C50" s="19" t="inlineStr">
        <is>
          <t>Delta</t>
        </is>
      </c>
      <c r="D50" s="24" t="n">
        <v>1884</v>
      </c>
      <c r="E50" s="24">
        <f>INDEX(Assumptions!$E$4:$E$8,MATCH($C50,Assumptions!$D$4:$D$8,0))*(1+Assumptions!$B$10)^((YEAR($A50)-2024))*(1-Assumptions!$B$12)</f>
        <v/>
      </c>
      <c r="F50" s="24">
        <f>D50*E50</f>
        <v/>
      </c>
    </row>
    <row r="51" ht="15" customHeight="1" s="20">
      <c r="A51" s="22" t="n">
        <v>45383</v>
      </c>
      <c r="B51" s="23" t="inlineStr">
        <is>
          <t>华东</t>
        </is>
      </c>
      <c r="C51" s="19" t="inlineStr">
        <is>
          <t>Epsilon</t>
        </is>
      </c>
      <c r="D51" s="24" t="n">
        <v>1365</v>
      </c>
      <c r="E51" s="24">
        <f>INDEX(Assumptions!$E$4:$E$8,MATCH($C51,Assumptions!$D$4:$D$8,0))*(1+Assumptions!$B$10)^((YEAR($A51)-2024))*(1-Assumptions!$B$12)</f>
        <v/>
      </c>
      <c r="F51" s="24">
        <f>D51*E51</f>
        <v/>
      </c>
    </row>
    <row r="52" ht="15" customHeight="1" s="20">
      <c r="A52" s="22" t="n">
        <v>45383</v>
      </c>
      <c r="B52" s="23" t="inlineStr">
        <is>
          <t>华南</t>
        </is>
      </c>
      <c r="C52" s="19" t="inlineStr">
        <is>
          <t>Alpha</t>
        </is>
      </c>
      <c r="D52" s="24" t="n">
        <v>2162</v>
      </c>
      <c r="E52" s="24">
        <f>INDEX(Assumptions!$E$4:$E$8,MATCH($C52,Assumptions!$D$4:$D$8,0))*(1+Assumptions!$B$10)^((YEAR($A52)-2024))*(1-Assumptions!$B$12)</f>
        <v/>
      </c>
      <c r="F52" s="24">
        <f>D52*E52</f>
        <v/>
      </c>
    </row>
    <row r="53" ht="15" customHeight="1" s="20">
      <c r="A53" s="22" t="n">
        <v>45383</v>
      </c>
      <c r="B53" s="23" t="inlineStr">
        <is>
          <t>华南</t>
        </is>
      </c>
      <c r="C53" s="19" t="inlineStr">
        <is>
          <t>Beta</t>
        </is>
      </c>
      <c r="D53" s="24" t="n">
        <v>1848</v>
      </c>
      <c r="E53" s="24">
        <f>INDEX(Assumptions!$E$4:$E$8,MATCH($C53,Assumptions!$D$4:$D$8,0))*(1+Assumptions!$B$10)^((YEAR($A53)-2024))*(1-Assumptions!$B$12)</f>
        <v/>
      </c>
      <c r="F53" s="24">
        <f>D53*E53</f>
        <v/>
      </c>
    </row>
    <row r="54" ht="15" customHeight="1" s="20">
      <c r="A54" s="22" t="n">
        <v>45383</v>
      </c>
      <c r="B54" s="23" t="inlineStr">
        <is>
          <t>华南</t>
        </is>
      </c>
      <c r="C54" s="19" t="inlineStr">
        <is>
          <t>Gamma</t>
        </is>
      </c>
      <c r="D54" s="24" t="n">
        <v>1778</v>
      </c>
      <c r="E54" s="24">
        <f>INDEX(Assumptions!$E$4:$E$8,MATCH($C54,Assumptions!$D$4:$D$8,0))*(1+Assumptions!$B$10)^((YEAR($A54)-2024))*(1-Assumptions!$B$12)</f>
        <v/>
      </c>
      <c r="F54" s="24">
        <f>D54*E54</f>
        <v/>
      </c>
    </row>
    <row r="55" ht="15" customHeight="1" s="20">
      <c r="A55" s="22" t="n">
        <v>45383</v>
      </c>
      <c r="B55" s="23" t="inlineStr">
        <is>
          <t>华南</t>
        </is>
      </c>
      <c r="C55" s="19" t="inlineStr">
        <is>
          <t>Delta</t>
        </is>
      </c>
      <c r="D55" s="24" t="n">
        <v>1781</v>
      </c>
      <c r="E55" s="24">
        <f>INDEX(Assumptions!$E$4:$E$8,MATCH($C55,Assumptions!$D$4:$D$8,0))*(1+Assumptions!$B$10)^((YEAR($A55)-2024))*(1-Assumptions!$B$12)</f>
        <v/>
      </c>
      <c r="F55" s="24">
        <f>D55*E55</f>
        <v/>
      </c>
    </row>
    <row r="56" ht="15" customHeight="1" s="20">
      <c r="A56" s="22" t="n">
        <v>45383</v>
      </c>
      <c r="B56" s="23" t="inlineStr">
        <is>
          <t>华南</t>
        </is>
      </c>
      <c r="C56" s="19" t="inlineStr">
        <is>
          <t>Epsilon</t>
        </is>
      </c>
      <c r="D56" s="24" t="n">
        <v>1292</v>
      </c>
      <c r="E56" s="24">
        <f>INDEX(Assumptions!$E$4:$E$8,MATCH($C56,Assumptions!$D$4:$D$8,0))*(1+Assumptions!$B$10)^((YEAR($A56)-2024))*(1-Assumptions!$B$12)</f>
        <v/>
      </c>
      <c r="F56" s="24">
        <f>D56*E56</f>
        <v/>
      </c>
    </row>
    <row r="57" ht="15" customHeight="1" s="20">
      <c r="A57" s="22" t="n">
        <v>45383</v>
      </c>
      <c r="B57" s="23" t="inlineStr">
        <is>
          <t>华北</t>
        </is>
      </c>
      <c r="C57" s="19" t="inlineStr">
        <is>
          <t>Alpha</t>
        </is>
      </c>
      <c r="D57" s="24" t="n">
        <v>2091</v>
      </c>
      <c r="E57" s="24">
        <f>INDEX(Assumptions!$E$4:$E$8,MATCH($C57,Assumptions!$D$4:$D$8,0))*(1+Assumptions!$B$10)^((YEAR($A57)-2024))*(1-Assumptions!$B$12)</f>
        <v/>
      </c>
      <c r="F57" s="24">
        <f>D57*E57</f>
        <v/>
      </c>
    </row>
    <row r="58" ht="15" customHeight="1" s="20">
      <c r="A58" s="22" t="n">
        <v>45383</v>
      </c>
      <c r="B58" s="23" t="inlineStr">
        <is>
          <t>华北</t>
        </is>
      </c>
      <c r="C58" s="19" t="inlineStr">
        <is>
          <t>Beta</t>
        </is>
      </c>
      <c r="D58" s="24" t="n">
        <v>1642</v>
      </c>
      <c r="E58" s="24">
        <f>INDEX(Assumptions!$E$4:$E$8,MATCH($C58,Assumptions!$D$4:$D$8,0))*(1+Assumptions!$B$10)^((YEAR($A58)-2024))*(1-Assumptions!$B$12)</f>
        <v/>
      </c>
      <c r="F58" s="24">
        <f>D58*E58</f>
        <v/>
      </c>
    </row>
    <row r="59" ht="15" customHeight="1" s="20">
      <c r="A59" s="22" t="n">
        <v>45383</v>
      </c>
      <c r="B59" s="23" t="inlineStr">
        <is>
          <t>华北</t>
        </is>
      </c>
      <c r="C59" s="19" t="inlineStr">
        <is>
          <t>Gamma</t>
        </is>
      </c>
      <c r="D59" s="24" t="n">
        <v>1839</v>
      </c>
      <c r="E59" s="24">
        <f>INDEX(Assumptions!$E$4:$E$8,MATCH($C59,Assumptions!$D$4:$D$8,0))*(1+Assumptions!$B$10)^((YEAR($A59)-2024))*(1-Assumptions!$B$12)</f>
        <v/>
      </c>
      <c r="F59" s="24">
        <f>D59*E59</f>
        <v/>
      </c>
    </row>
    <row r="60" ht="15" customHeight="1" s="20">
      <c r="A60" s="22" t="n">
        <v>45383</v>
      </c>
      <c r="B60" s="23" t="inlineStr">
        <is>
          <t>华北</t>
        </is>
      </c>
      <c r="C60" s="19" t="inlineStr">
        <is>
          <t>Delta</t>
        </is>
      </c>
      <c r="D60" s="24" t="n">
        <v>1274</v>
      </c>
      <c r="E60" s="24">
        <f>INDEX(Assumptions!$E$4:$E$8,MATCH($C60,Assumptions!$D$4:$D$8,0))*(1+Assumptions!$B$10)^((YEAR($A60)-2024))*(1-Assumptions!$B$12)</f>
        <v/>
      </c>
      <c r="F60" s="24">
        <f>D60*E60</f>
        <v/>
      </c>
    </row>
    <row r="61" ht="15" customHeight="1" s="20">
      <c r="A61" s="22" t="n">
        <v>45383</v>
      </c>
      <c r="B61" s="23" t="inlineStr">
        <is>
          <t>华北</t>
        </is>
      </c>
      <c r="C61" s="19" t="inlineStr">
        <is>
          <t>Epsilon</t>
        </is>
      </c>
      <c r="D61" s="24" t="n">
        <v>1073</v>
      </c>
      <c r="E61" s="24">
        <f>INDEX(Assumptions!$E$4:$E$8,MATCH($C61,Assumptions!$D$4:$D$8,0))*(1+Assumptions!$B$10)^((YEAR($A61)-2024))*(1-Assumptions!$B$12)</f>
        <v/>
      </c>
      <c r="F61" s="24">
        <f>D61*E61</f>
        <v/>
      </c>
    </row>
    <row r="62" ht="15" customHeight="1" s="20">
      <c r="A62" s="22" t="n">
        <v>45413</v>
      </c>
      <c r="B62" s="23" t="inlineStr">
        <is>
          <t>华东</t>
        </is>
      </c>
      <c r="C62" s="19" t="inlineStr">
        <is>
          <t>Alpha</t>
        </is>
      </c>
      <c r="D62" s="24" t="n">
        <v>2887</v>
      </c>
      <c r="E62" s="24">
        <f>INDEX(Assumptions!$E$4:$E$8,MATCH($C62,Assumptions!$D$4:$D$8,0))*(1+Assumptions!$B$10)^((YEAR($A62)-2024))*(1-Assumptions!$B$12)</f>
        <v/>
      </c>
      <c r="F62" s="24">
        <f>D62*E62</f>
        <v/>
      </c>
    </row>
    <row r="63" ht="15" customHeight="1" s="20">
      <c r="A63" s="22" t="n">
        <v>45413</v>
      </c>
      <c r="B63" s="23" t="inlineStr">
        <is>
          <t>华东</t>
        </is>
      </c>
      <c r="C63" s="19" t="inlineStr">
        <is>
          <t>Beta</t>
        </is>
      </c>
      <c r="D63" s="24" t="n">
        <v>2361</v>
      </c>
      <c r="E63" s="24">
        <f>INDEX(Assumptions!$E$4:$E$8,MATCH($C63,Assumptions!$D$4:$D$8,0))*(1+Assumptions!$B$10)^((YEAR($A63)-2024))*(1-Assumptions!$B$12)</f>
        <v/>
      </c>
      <c r="F63" s="24">
        <f>D63*E63</f>
        <v/>
      </c>
    </row>
    <row r="64" ht="15" customHeight="1" s="20">
      <c r="A64" s="22" t="n">
        <v>45413</v>
      </c>
      <c r="B64" s="23" t="inlineStr">
        <is>
          <t>华东</t>
        </is>
      </c>
      <c r="C64" s="19" t="inlineStr">
        <is>
          <t>Gamma</t>
        </is>
      </c>
      <c r="D64" s="24" t="n">
        <v>2177</v>
      </c>
      <c r="E64" s="24">
        <f>INDEX(Assumptions!$E$4:$E$8,MATCH($C64,Assumptions!$D$4:$D$8,0))*(1+Assumptions!$B$10)^((YEAR($A64)-2024))*(1-Assumptions!$B$12)</f>
        <v/>
      </c>
      <c r="F64" s="24">
        <f>D64*E64</f>
        <v/>
      </c>
    </row>
    <row r="65" ht="15" customHeight="1" s="20">
      <c r="A65" s="22" t="n">
        <v>45413</v>
      </c>
      <c r="B65" s="23" t="inlineStr">
        <is>
          <t>华东</t>
        </is>
      </c>
      <c r="C65" s="19" t="inlineStr">
        <is>
          <t>Delta</t>
        </is>
      </c>
      <c r="D65" s="24" t="n">
        <v>1860</v>
      </c>
      <c r="E65" s="24">
        <f>INDEX(Assumptions!$E$4:$E$8,MATCH($C65,Assumptions!$D$4:$D$8,0))*(1+Assumptions!$B$10)^((YEAR($A65)-2024))*(1-Assumptions!$B$12)</f>
        <v/>
      </c>
      <c r="F65" s="24">
        <f>D65*E65</f>
        <v/>
      </c>
    </row>
    <row r="66" ht="15" customHeight="1" s="20">
      <c r="A66" s="22" t="n">
        <v>45413</v>
      </c>
      <c r="B66" s="23" t="inlineStr">
        <is>
          <t>华东</t>
        </is>
      </c>
      <c r="C66" s="19" t="inlineStr">
        <is>
          <t>Epsilon</t>
        </is>
      </c>
      <c r="D66" s="24" t="n">
        <v>1527</v>
      </c>
      <c r="E66" s="24">
        <f>INDEX(Assumptions!$E$4:$E$8,MATCH($C66,Assumptions!$D$4:$D$8,0))*(1+Assumptions!$B$10)^((YEAR($A66)-2024))*(1-Assumptions!$B$12)</f>
        <v/>
      </c>
      <c r="F66" s="24">
        <f>D66*E66</f>
        <v/>
      </c>
    </row>
    <row r="67" ht="15" customHeight="1" s="20">
      <c r="A67" s="22" t="n">
        <v>45413</v>
      </c>
      <c r="B67" s="23" t="inlineStr">
        <is>
          <t>华南</t>
        </is>
      </c>
      <c r="C67" s="19" t="inlineStr">
        <is>
          <t>Alpha</t>
        </is>
      </c>
      <c r="D67" s="24" t="n">
        <v>2371</v>
      </c>
      <c r="E67" s="24">
        <f>INDEX(Assumptions!$E$4:$E$8,MATCH($C67,Assumptions!$D$4:$D$8,0))*(1+Assumptions!$B$10)^((YEAR($A67)-2024))*(1-Assumptions!$B$12)</f>
        <v/>
      </c>
      <c r="F67" s="24">
        <f>D67*E67</f>
        <v/>
      </c>
    </row>
    <row r="68" ht="15" customHeight="1" s="20">
      <c r="A68" s="22" t="n">
        <v>45413</v>
      </c>
      <c r="B68" s="23" t="inlineStr">
        <is>
          <t>华南</t>
        </is>
      </c>
      <c r="C68" s="19" t="inlineStr">
        <is>
          <t>Beta</t>
        </is>
      </c>
      <c r="D68" s="24" t="n">
        <v>1810</v>
      </c>
      <c r="E68" s="24">
        <f>INDEX(Assumptions!$E$4:$E$8,MATCH($C68,Assumptions!$D$4:$D$8,0))*(1+Assumptions!$B$10)^((YEAR($A68)-2024))*(1-Assumptions!$B$12)</f>
        <v/>
      </c>
      <c r="F68" s="24">
        <f>D68*E68</f>
        <v/>
      </c>
    </row>
    <row r="69" ht="15" customHeight="1" s="20">
      <c r="A69" s="22" t="n">
        <v>45413</v>
      </c>
      <c r="B69" s="23" t="inlineStr">
        <is>
          <t>华南</t>
        </is>
      </c>
      <c r="C69" s="19" t="inlineStr">
        <is>
          <t>Gamma</t>
        </is>
      </c>
      <c r="D69" s="24" t="n">
        <v>1599</v>
      </c>
      <c r="E69" s="24">
        <f>INDEX(Assumptions!$E$4:$E$8,MATCH($C69,Assumptions!$D$4:$D$8,0))*(1+Assumptions!$B$10)^((YEAR($A69)-2024))*(1-Assumptions!$B$12)</f>
        <v/>
      </c>
      <c r="F69" s="24">
        <f>D69*E69</f>
        <v/>
      </c>
    </row>
    <row r="70" ht="15" customHeight="1" s="20">
      <c r="A70" s="22" t="n">
        <v>45413</v>
      </c>
      <c r="B70" s="23" t="inlineStr">
        <is>
          <t>华南</t>
        </is>
      </c>
      <c r="C70" s="19" t="inlineStr">
        <is>
          <t>Delta</t>
        </is>
      </c>
      <c r="D70" s="24" t="n">
        <v>1447</v>
      </c>
      <c r="E70" s="24">
        <f>INDEX(Assumptions!$E$4:$E$8,MATCH($C70,Assumptions!$D$4:$D$8,0))*(1+Assumptions!$B$10)^((YEAR($A70)-2024))*(1-Assumptions!$B$12)</f>
        <v/>
      </c>
      <c r="F70" s="24">
        <f>D70*E70</f>
        <v/>
      </c>
    </row>
    <row r="71" ht="15" customHeight="1" s="20">
      <c r="A71" s="22" t="n">
        <v>45413</v>
      </c>
      <c r="B71" s="23" t="inlineStr">
        <is>
          <t>华南</t>
        </is>
      </c>
      <c r="C71" s="19" t="inlineStr">
        <is>
          <t>Epsilon</t>
        </is>
      </c>
      <c r="D71" s="24" t="n">
        <v>1120</v>
      </c>
      <c r="E71" s="24">
        <f>INDEX(Assumptions!$E$4:$E$8,MATCH($C71,Assumptions!$D$4:$D$8,0))*(1+Assumptions!$B$10)^((YEAR($A71)-2024))*(1-Assumptions!$B$12)</f>
        <v/>
      </c>
      <c r="F71" s="24">
        <f>D71*E71</f>
        <v/>
      </c>
    </row>
    <row r="72" ht="15" customHeight="1" s="20">
      <c r="A72" s="22" t="n">
        <v>45413</v>
      </c>
      <c r="B72" s="23" t="inlineStr">
        <is>
          <t>华北</t>
        </is>
      </c>
      <c r="C72" s="19" t="inlineStr">
        <is>
          <t>Alpha</t>
        </is>
      </c>
      <c r="D72" s="24" t="n">
        <v>1799</v>
      </c>
      <c r="E72" s="24">
        <f>INDEX(Assumptions!$E$4:$E$8,MATCH($C72,Assumptions!$D$4:$D$8,0))*(1+Assumptions!$B$10)^((YEAR($A72)-2024))*(1-Assumptions!$B$12)</f>
        <v/>
      </c>
      <c r="F72" s="24">
        <f>D72*E72</f>
        <v/>
      </c>
    </row>
    <row r="73" ht="15" customHeight="1" s="20">
      <c r="A73" s="22" t="n">
        <v>45413</v>
      </c>
      <c r="B73" s="23" t="inlineStr">
        <is>
          <t>华北</t>
        </is>
      </c>
      <c r="C73" s="19" t="inlineStr">
        <is>
          <t>Beta</t>
        </is>
      </c>
      <c r="D73" s="24" t="n">
        <v>2009</v>
      </c>
      <c r="E73" s="24">
        <f>INDEX(Assumptions!$E$4:$E$8,MATCH($C73,Assumptions!$D$4:$D$8,0))*(1+Assumptions!$B$10)^((YEAR($A73)-2024))*(1-Assumptions!$B$12)</f>
        <v/>
      </c>
      <c r="F73" s="24">
        <f>D73*E73</f>
        <v/>
      </c>
    </row>
    <row r="74" ht="15" customHeight="1" s="20">
      <c r="A74" s="22" t="n">
        <v>45413</v>
      </c>
      <c r="B74" s="23" t="inlineStr">
        <is>
          <t>华北</t>
        </is>
      </c>
      <c r="C74" s="19" t="inlineStr">
        <is>
          <t>Gamma</t>
        </is>
      </c>
      <c r="D74" s="24" t="n">
        <v>1864</v>
      </c>
      <c r="E74" s="24">
        <f>INDEX(Assumptions!$E$4:$E$8,MATCH($C74,Assumptions!$D$4:$D$8,0))*(1+Assumptions!$B$10)^((YEAR($A74)-2024))*(1-Assumptions!$B$12)</f>
        <v/>
      </c>
      <c r="F74" s="24">
        <f>D74*E74</f>
        <v/>
      </c>
    </row>
    <row r="75" ht="15" customHeight="1" s="20">
      <c r="A75" s="22" t="n">
        <v>45413</v>
      </c>
      <c r="B75" s="23" t="inlineStr">
        <is>
          <t>华北</t>
        </is>
      </c>
      <c r="C75" s="19" t="inlineStr">
        <is>
          <t>Delta</t>
        </is>
      </c>
      <c r="D75" s="24" t="n">
        <v>1302</v>
      </c>
      <c r="E75" s="24">
        <f>INDEX(Assumptions!$E$4:$E$8,MATCH($C75,Assumptions!$D$4:$D$8,0))*(1+Assumptions!$B$10)^((YEAR($A75)-2024))*(1-Assumptions!$B$12)</f>
        <v/>
      </c>
      <c r="F75" s="24">
        <f>D75*E75</f>
        <v/>
      </c>
    </row>
    <row r="76" ht="15" customHeight="1" s="20">
      <c r="A76" s="22" t="n">
        <v>45413</v>
      </c>
      <c r="B76" s="23" t="inlineStr">
        <is>
          <t>华北</t>
        </is>
      </c>
      <c r="C76" s="19" t="inlineStr">
        <is>
          <t>Epsilon</t>
        </is>
      </c>
      <c r="D76" s="24" t="n">
        <v>1134</v>
      </c>
      <c r="E76" s="24">
        <f>INDEX(Assumptions!$E$4:$E$8,MATCH($C76,Assumptions!$D$4:$D$8,0))*(1+Assumptions!$B$10)^((YEAR($A76)-2024))*(1-Assumptions!$B$12)</f>
        <v/>
      </c>
      <c r="F76" s="24">
        <f>D76*E76</f>
        <v/>
      </c>
    </row>
    <row r="77" ht="15" customHeight="1" s="20">
      <c r="A77" s="22" t="n">
        <v>45444</v>
      </c>
      <c r="B77" s="23" t="inlineStr">
        <is>
          <t>华东</t>
        </is>
      </c>
      <c r="C77" s="19" t="inlineStr">
        <is>
          <t>Alpha</t>
        </is>
      </c>
      <c r="D77" s="24" t="n">
        <v>2255</v>
      </c>
      <c r="E77" s="24">
        <f>INDEX(Assumptions!$E$4:$E$8,MATCH($C77,Assumptions!$D$4:$D$8,0))*(1+Assumptions!$B$10)^((YEAR($A77)-2024))*(1-Assumptions!$B$12)</f>
        <v/>
      </c>
      <c r="F77" s="24">
        <f>D77*E77</f>
        <v/>
      </c>
    </row>
    <row r="78" ht="15" customHeight="1" s="20">
      <c r="A78" s="22" t="n">
        <v>45444</v>
      </c>
      <c r="B78" s="23" t="inlineStr">
        <is>
          <t>华东</t>
        </is>
      </c>
      <c r="C78" s="19" t="inlineStr">
        <is>
          <t>Beta</t>
        </is>
      </c>
      <c r="D78" s="24" t="n">
        <v>2356</v>
      </c>
      <c r="E78" s="24">
        <f>INDEX(Assumptions!$E$4:$E$8,MATCH($C78,Assumptions!$D$4:$D$8,0))*(1+Assumptions!$B$10)^((YEAR($A78)-2024))*(1-Assumptions!$B$12)</f>
        <v/>
      </c>
      <c r="F78" s="24">
        <f>D78*E78</f>
        <v/>
      </c>
    </row>
    <row r="79" ht="15" customHeight="1" s="20">
      <c r="A79" s="22" t="n">
        <v>45444</v>
      </c>
      <c r="B79" s="23" t="inlineStr">
        <is>
          <t>华东</t>
        </is>
      </c>
      <c r="C79" s="19" t="inlineStr">
        <is>
          <t>Gamma</t>
        </is>
      </c>
      <c r="D79" s="24" t="n">
        <v>1955</v>
      </c>
      <c r="E79" s="24">
        <f>INDEX(Assumptions!$E$4:$E$8,MATCH($C79,Assumptions!$D$4:$D$8,0))*(1+Assumptions!$B$10)^((YEAR($A79)-2024))*(1-Assumptions!$B$12)</f>
        <v/>
      </c>
      <c r="F79" s="24">
        <f>D79*E79</f>
        <v/>
      </c>
    </row>
    <row r="80" ht="15" customHeight="1" s="20">
      <c r="A80" s="22" t="n">
        <v>45444</v>
      </c>
      <c r="B80" s="23" t="inlineStr">
        <is>
          <t>华东</t>
        </is>
      </c>
      <c r="C80" s="19" t="inlineStr">
        <is>
          <t>Delta</t>
        </is>
      </c>
      <c r="D80" s="24" t="n">
        <v>1515</v>
      </c>
      <c r="E80" s="24">
        <f>INDEX(Assumptions!$E$4:$E$8,MATCH($C80,Assumptions!$D$4:$D$8,0))*(1+Assumptions!$B$10)^((YEAR($A80)-2024))*(1-Assumptions!$B$12)</f>
        <v/>
      </c>
      <c r="F80" s="24">
        <f>D80*E80</f>
        <v/>
      </c>
    </row>
    <row r="81" ht="15" customHeight="1" s="20">
      <c r="A81" s="22" t="n">
        <v>45444</v>
      </c>
      <c r="B81" s="23" t="inlineStr">
        <is>
          <t>华东</t>
        </is>
      </c>
      <c r="C81" s="19" t="inlineStr">
        <is>
          <t>Epsilon</t>
        </is>
      </c>
      <c r="D81" s="24" t="n">
        <v>1183</v>
      </c>
      <c r="E81" s="24">
        <f>INDEX(Assumptions!$E$4:$E$8,MATCH($C81,Assumptions!$D$4:$D$8,0))*(1+Assumptions!$B$10)^((YEAR($A81)-2024))*(1-Assumptions!$B$12)</f>
        <v/>
      </c>
      <c r="F81" s="24">
        <f>D81*E81</f>
        <v/>
      </c>
    </row>
    <row r="82" ht="15" customHeight="1" s="20">
      <c r="A82" s="22" t="n">
        <v>45444</v>
      </c>
      <c r="B82" s="23" t="inlineStr">
        <is>
          <t>华南</t>
        </is>
      </c>
      <c r="C82" s="19" t="inlineStr">
        <is>
          <t>Alpha</t>
        </is>
      </c>
      <c r="D82" s="24" t="n">
        <v>2062</v>
      </c>
      <c r="E82" s="24">
        <f>INDEX(Assumptions!$E$4:$E$8,MATCH($C82,Assumptions!$D$4:$D$8,0))*(1+Assumptions!$B$10)^((YEAR($A82)-2024))*(1-Assumptions!$B$12)</f>
        <v/>
      </c>
      <c r="F82" s="24">
        <f>D82*E82</f>
        <v/>
      </c>
    </row>
    <row r="83" ht="15" customHeight="1" s="20">
      <c r="A83" s="22" t="n">
        <v>45444</v>
      </c>
      <c r="B83" s="23" t="inlineStr">
        <is>
          <t>华南</t>
        </is>
      </c>
      <c r="C83" s="19" t="inlineStr">
        <is>
          <t>Beta</t>
        </is>
      </c>
      <c r="D83" s="24" t="n">
        <v>1692</v>
      </c>
      <c r="E83" s="24">
        <f>INDEX(Assumptions!$E$4:$E$8,MATCH($C83,Assumptions!$D$4:$D$8,0))*(1+Assumptions!$B$10)^((YEAR($A83)-2024))*(1-Assumptions!$B$12)</f>
        <v/>
      </c>
      <c r="F83" s="24">
        <f>D83*E83</f>
        <v/>
      </c>
    </row>
    <row r="84" ht="15" customHeight="1" s="20">
      <c r="A84" s="22" t="n">
        <v>45444</v>
      </c>
      <c r="B84" s="23" t="inlineStr">
        <is>
          <t>华南</t>
        </is>
      </c>
      <c r="C84" s="19" t="inlineStr">
        <is>
          <t>Gamma</t>
        </is>
      </c>
      <c r="D84" s="24" t="n">
        <v>1764</v>
      </c>
      <c r="E84" s="24">
        <f>INDEX(Assumptions!$E$4:$E$8,MATCH($C84,Assumptions!$D$4:$D$8,0))*(1+Assumptions!$B$10)^((YEAR($A84)-2024))*(1-Assumptions!$B$12)</f>
        <v/>
      </c>
      <c r="F84" s="24">
        <f>D84*E84</f>
        <v/>
      </c>
    </row>
    <row r="85" ht="15" customHeight="1" s="20">
      <c r="A85" s="22" t="n">
        <v>45444</v>
      </c>
      <c r="B85" s="23" t="inlineStr">
        <is>
          <t>华南</t>
        </is>
      </c>
      <c r="C85" s="19" t="inlineStr">
        <is>
          <t>Delta</t>
        </is>
      </c>
      <c r="D85" s="24" t="n">
        <v>1586</v>
      </c>
      <c r="E85" s="24">
        <f>INDEX(Assumptions!$E$4:$E$8,MATCH($C85,Assumptions!$D$4:$D$8,0))*(1+Assumptions!$B$10)^((YEAR($A85)-2024))*(1-Assumptions!$B$12)</f>
        <v/>
      </c>
      <c r="F85" s="24">
        <f>D85*E85</f>
        <v/>
      </c>
    </row>
    <row r="86" ht="15" customHeight="1" s="20">
      <c r="A86" s="22" t="n">
        <v>45444</v>
      </c>
      <c r="B86" s="23" t="inlineStr">
        <is>
          <t>华南</t>
        </is>
      </c>
      <c r="C86" s="19" t="inlineStr">
        <is>
          <t>Epsilon</t>
        </is>
      </c>
      <c r="D86" s="24" t="n">
        <v>1080</v>
      </c>
      <c r="E86" s="24">
        <f>INDEX(Assumptions!$E$4:$E$8,MATCH($C86,Assumptions!$D$4:$D$8,0))*(1+Assumptions!$B$10)^((YEAR($A86)-2024))*(1-Assumptions!$B$12)</f>
        <v/>
      </c>
      <c r="F86" s="24">
        <f>D86*E86</f>
        <v/>
      </c>
    </row>
    <row r="87" ht="15" customHeight="1" s="20">
      <c r="A87" s="22" t="n">
        <v>45444</v>
      </c>
      <c r="B87" s="23" t="inlineStr">
        <is>
          <t>华北</t>
        </is>
      </c>
      <c r="C87" s="19" t="inlineStr">
        <is>
          <t>Alpha</t>
        </is>
      </c>
      <c r="D87" s="24" t="n">
        <v>1669</v>
      </c>
      <c r="E87" s="24">
        <f>INDEX(Assumptions!$E$4:$E$8,MATCH($C87,Assumptions!$D$4:$D$8,0))*(1+Assumptions!$B$10)^((YEAR($A87)-2024))*(1-Assumptions!$B$12)</f>
        <v/>
      </c>
      <c r="F87" s="24">
        <f>D87*E87</f>
        <v/>
      </c>
    </row>
    <row r="88" ht="15" customHeight="1" s="20">
      <c r="A88" s="22" t="n">
        <v>45444</v>
      </c>
      <c r="B88" s="23" t="inlineStr">
        <is>
          <t>华北</t>
        </is>
      </c>
      <c r="C88" s="19" t="inlineStr">
        <is>
          <t>Beta</t>
        </is>
      </c>
      <c r="D88" s="24" t="n">
        <v>1885</v>
      </c>
      <c r="E88" s="24">
        <f>INDEX(Assumptions!$E$4:$E$8,MATCH($C88,Assumptions!$D$4:$D$8,0))*(1+Assumptions!$B$10)^((YEAR($A88)-2024))*(1-Assumptions!$B$12)</f>
        <v/>
      </c>
      <c r="F88" s="24">
        <f>D88*E88</f>
        <v/>
      </c>
    </row>
    <row r="89" ht="15" customHeight="1" s="20">
      <c r="A89" s="22" t="n">
        <v>45444</v>
      </c>
      <c r="B89" s="23" t="inlineStr">
        <is>
          <t>华北</t>
        </is>
      </c>
      <c r="C89" s="19" t="inlineStr">
        <is>
          <t>Gamma</t>
        </is>
      </c>
      <c r="D89" s="24" t="n">
        <v>1553</v>
      </c>
      <c r="E89" s="24">
        <f>INDEX(Assumptions!$E$4:$E$8,MATCH($C89,Assumptions!$D$4:$D$8,0))*(1+Assumptions!$B$10)^((YEAR($A89)-2024))*(1-Assumptions!$B$12)</f>
        <v/>
      </c>
      <c r="F89" s="24">
        <f>D89*E89</f>
        <v/>
      </c>
    </row>
    <row r="90" ht="15" customHeight="1" s="20">
      <c r="A90" s="22" t="n">
        <v>45444</v>
      </c>
      <c r="B90" s="23" t="inlineStr">
        <is>
          <t>华北</t>
        </is>
      </c>
      <c r="C90" s="19" t="inlineStr">
        <is>
          <t>Delta</t>
        </is>
      </c>
      <c r="D90" s="24" t="n">
        <v>1119</v>
      </c>
      <c r="E90" s="24">
        <f>INDEX(Assumptions!$E$4:$E$8,MATCH($C90,Assumptions!$D$4:$D$8,0))*(1+Assumptions!$B$10)^((YEAR($A90)-2024))*(1-Assumptions!$B$12)</f>
        <v/>
      </c>
      <c r="F90" s="24">
        <f>D90*E90</f>
        <v/>
      </c>
    </row>
    <row r="91" ht="15" customHeight="1" s="20">
      <c r="A91" s="22" t="n">
        <v>45444</v>
      </c>
      <c r="B91" s="23" t="inlineStr">
        <is>
          <t>华北</t>
        </is>
      </c>
      <c r="C91" s="19" t="inlineStr">
        <is>
          <t>Epsilon</t>
        </is>
      </c>
      <c r="D91" s="24" t="n">
        <v>866</v>
      </c>
      <c r="E91" s="24">
        <f>INDEX(Assumptions!$E$4:$E$8,MATCH($C91,Assumptions!$D$4:$D$8,0))*(1+Assumptions!$B$10)^((YEAR($A91)-2024))*(1-Assumptions!$B$12)</f>
        <v/>
      </c>
      <c r="F91" s="24">
        <f>D91*E91</f>
        <v/>
      </c>
    </row>
    <row r="92" ht="15" customHeight="1" s="20">
      <c r="A92" s="22" t="n">
        <v>45474</v>
      </c>
      <c r="B92" s="23" t="inlineStr">
        <is>
          <t>华东</t>
        </is>
      </c>
      <c r="C92" s="19" t="inlineStr">
        <is>
          <t>Alpha</t>
        </is>
      </c>
      <c r="D92" s="24" t="n">
        <v>1827</v>
      </c>
      <c r="E92" s="24">
        <f>INDEX(Assumptions!$E$4:$E$8,MATCH($C92,Assumptions!$D$4:$D$8,0))*(1+Assumptions!$B$10)^((YEAR($A92)-2024))*(1-Assumptions!$B$12)</f>
        <v/>
      </c>
      <c r="F92" s="24">
        <f>D92*E92</f>
        <v/>
      </c>
    </row>
    <row r="93" ht="15" customHeight="1" s="20">
      <c r="A93" s="22" t="n">
        <v>45474</v>
      </c>
      <c r="B93" s="23" t="inlineStr">
        <is>
          <t>华东</t>
        </is>
      </c>
      <c r="C93" s="19" t="inlineStr">
        <is>
          <t>Beta</t>
        </is>
      </c>
      <c r="D93" s="24" t="n">
        <v>1934</v>
      </c>
      <c r="E93" s="24">
        <f>INDEX(Assumptions!$E$4:$E$8,MATCH($C93,Assumptions!$D$4:$D$8,0))*(1+Assumptions!$B$10)^((YEAR($A93)-2024))*(1-Assumptions!$B$12)</f>
        <v/>
      </c>
      <c r="F93" s="24">
        <f>D93*E93</f>
        <v/>
      </c>
    </row>
    <row r="94" ht="15" customHeight="1" s="20">
      <c r="A94" s="22" t="n">
        <v>45474</v>
      </c>
      <c r="B94" s="23" t="inlineStr">
        <is>
          <t>华东</t>
        </is>
      </c>
      <c r="C94" s="19" t="inlineStr">
        <is>
          <t>Gamma</t>
        </is>
      </c>
      <c r="D94" s="24" t="n">
        <v>1913</v>
      </c>
      <c r="E94" s="24">
        <f>INDEX(Assumptions!$E$4:$E$8,MATCH($C94,Assumptions!$D$4:$D$8,0))*(1+Assumptions!$B$10)^((YEAR($A94)-2024))*(1-Assumptions!$B$12)</f>
        <v/>
      </c>
      <c r="F94" s="24">
        <f>D94*E94</f>
        <v/>
      </c>
    </row>
    <row r="95" ht="15" customHeight="1" s="20">
      <c r="A95" s="22" t="n">
        <v>45474</v>
      </c>
      <c r="B95" s="23" t="inlineStr">
        <is>
          <t>华东</t>
        </is>
      </c>
      <c r="C95" s="19" t="inlineStr">
        <is>
          <t>Delta</t>
        </is>
      </c>
      <c r="D95" s="24" t="n">
        <v>1415</v>
      </c>
      <c r="E95" s="24">
        <f>INDEX(Assumptions!$E$4:$E$8,MATCH($C95,Assumptions!$D$4:$D$8,0))*(1+Assumptions!$B$10)^((YEAR($A95)-2024))*(1-Assumptions!$B$12)</f>
        <v/>
      </c>
      <c r="F95" s="24">
        <f>D95*E95</f>
        <v/>
      </c>
    </row>
    <row r="96" ht="15" customHeight="1" s="20">
      <c r="A96" s="22" t="n">
        <v>45474</v>
      </c>
      <c r="B96" s="23" t="inlineStr">
        <is>
          <t>华东</t>
        </is>
      </c>
      <c r="C96" s="19" t="inlineStr">
        <is>
          <t>Epsilon</t>
        </is>
      </c>
      <c r="D96" s="24" t="n">
        <v>989</v>
      </c>
      <c r="E96" s="24">
        <f>INDEX(Assumptions!$E$4:$E$8,MATCH($C96,Assumptions!$D$4:$D$8,0))*(1+Assumptions!$B$10)^((YEAR($A96)-2024))*(1-Assumptions!$B$12)</f>
        <v/>
      </c>
      <c r="F96" s="24">
        <f>D96*E96</f>
        <v/>
      </c>
    </row>
    <row r="97" ht="15" customHeight="1" s="20">
      <c r="A97" s="22" t="n">
        <v>45474</v>
      </c>
      <c r="B97" s="23" t="inlineStr">
        <is>
          <t>华南</t>
        </is>
      </c>
      <c r="C97" s="19" t="inlineStr">
        <is>
          <t>Alpha</t>
        </is>
      </c>
      <c r="D97" s="24" t="n">
        <v>1736</v>
      </c>
      <c r="E97" s="24">
        <f>INDEX(Assumptions!$E$4:$E$8,MATCH($C97,Assumptions!$D$4:$D$8,0))*(1+Assumptions!$B$10)^((YEAR($A97)-2024))*(1-Assumptions!$B$12)</f>
        <v/>
      </c>
      <c r="F97" s="24">
        <f>D97*E97</f>
        <v/>
      </c>
    </row>
    <row r="98" ht="15" customHeight="1" s="20">
      <c r="A98" s="22" t="n">
        <v>45474</v>
      </c>
      <c r="B98" s="23" t="inlineStr">
        <is>
          <t>华南</t>
        </is>
      </c>
      <c r="C98" s="19" t="inlineStr">
        <is>
          <t>Beta</t>
        </is>
      </c>
      <c r="D98" s="24" t="n">
        <v>1861</v>
      </c>
      <c r="E98" s="24">
        <f>INDEX(Assumptions!$E$4:$E$8,MATCH($C98,Assumptions!$D$4:$D$8,0))*(1+Assumptions!$B$10)^((YEAR($A98)-2024))*(1-Assumptions!$B$12)</f>
        <v/>
      </c>
      <c r="F98" s="24">
        <f>D98*E98</f>
        <v/>
      </c>
    </row>
    <row r="99" ht="15" customHeight="1" s="20">
      <c r="A99" s="22" t="n">
        <v>45474</v>
      </c>
      <c r="B99" s="23" t="inlineStr">
        <is>
          <t>华南</t>
        </is>
      </c>
      <c r="C99" s="19" t="inlineStr">
        <is>
          <t>Gamma</t>
        </is>
      </c>
      <c r="D99" s="24" t="n">
        <v>1543</v>
      </c>
      <c r="E99" s="24">
        <f>INDEX(Assumptions!$E$4:$E$8,MATCH($C99,Assumptions!$D$4:$D$8,0))*(1+Assumptions!$B$10)^((YEAR($A99)-2024))*(1-Assumptions!$B$12)</f>
        <v/>
      </c>
      <c r="F99" s="24">
        <f>D99*E99</f>
        <v/>
      </c>
    </row>
    <row r="100" ht="15" customHeight="1" s="20">
      <c r="A100" s="22" t="n">
        <v>45474</v>
      </c>
      <c r="B100" s="23" t="inlineStr">
        <is>
          <t>华南</t>
        </is>
      </c>
      <c r="C100" s="19" t="inlineStr">
        <is>
          <t>Delta</t>
        </is>
      </c>
      <c r="D100" s="24" t="n">
        <v>1438</v>
      </c>
      <c r="E100" s="24">
        <f>INDEX(Assumptions!$E$4:$E$8,MATCH($C100,Assumptions!$D$4:$D$8,0))*(1+Assumptions!$B$10)^((YEAR($A100)-2024))*(1-Assumptions!$B$12)</f>
        <v/>
      </c>
      <c r="F100" s="24">
        <f>D100*E100</f>
        <v/>
      </c>
    </row>
    <row r="101" ht="15" customHeight="1" s="20">
      <c r="A101" s="22" t="n">
        <v>45474</v>
      </c>
      <c r="B101" s="23" t="inlineStr">
        <is>
          <t>华南</t>
        </is>
      </c>
      <c r="C101" s="19" t="inlineStr">
        <is>
          <t>Epsilon</t>
        </is>
      </c>
      <c r="D101" s="24" t="n">
        <v>1097</v>
      </c>
      <c r="E101" s="24">
        <f>INDEX(Assumptions!$E$4:$E$8,MATCH($C101,Assumptions!$D$4:$D$8,0))*(1+Assumptions!$B$10)^((YEAR($A101)-2024))*(1-Assumptions!$B$12)</f>
        <v/>
      </c>
      <c r="F101" s="24">
        <f>D101*E101</f>
        <v/>
      </c>
    </row>
    <row r="102" ht="15" customHeight="1" s="20">
      <c r="A102" s="22" t="n">
        <v>45474</v>
      </c>
      <c r="B102" s="23" t="inlineStr">
        <is>
          <t>华北</t>
        </is>
      </c>
      <c r="C102" s="19" t="inlineStr">
        <is>
          <t>Alpha</t>
        </is>
      </c>
      <c r="D102" s="24" t="n">
        <v>1382</v>
      </c>
      <c r="E102" s="24">
        <f>INDEX(Assumptions!$E$4:$E$8,MATCH($C102,Assumptions!$D$4:$D$8,0))*(1+Assumptions!$B$10)^((YEAR($A102)-2024))*(1-Assumptions!$B$12)</f>
        <v/>
      </c>
      <c r="F102" s="24">
        <f>D102*E102</f>
        <v/>
      </c>
    </row>
    <row r="103" ht="15" customHeight="1" s="20">
      <c r="A103" s="22" t="n">
        <v>45474</v>
      </c>
      <c r="B103" s="23" t="inlineStr">
        <is>
          <t>华北</t>
        </is>
      </c>
      <c r="C103" s="19" t="inlineStr">
        <is>
          <t>Beta</t>
        </is>
      </c>
      <c r="D103" s="24" t="n">
        <v>1554</v>
      </c>
      <c r="E103" s="24">
        <f>INDEX(Assumptions!$E$4:$E$8,MATCH($C103,Assumptions!$D$4:$D$8,0))*(1+Assumptions!$B$10)^((YEAR($A103)-2024))*(1-Assumptions!$B$12)</f>
        <v/>
      </c>
      <c r="F103" s="24">
        <f>D103*E103</f>
        <v/>
      </c>
    </row>
    <row r="104" ht="15" customHeight="1" s="20">
      <c r="A104" s="22" t="n">
        <v>45474</v>
      </c>
      <c r="B104" s="23" t="inlineStr">
        <is>
          <t>华北</t>
        </is>
      </c>
      <c r="C104" s="19" t="inlineStr">
        <is>
          <t>Gamma</t>
        </is>
      </c>
      <c r="D104" s="24" t="n">
        <v>1452</v>
      </c>
      <c r="E104" s="24">
        <f>INDEX(Assumptions!$E$4:$E$8,MATCH($C104,Assumptions!$D$4:$D$8,0))*(1+Assumptions!$B$10)^((YEAR($A104)-2024))*(1-Assumptions!$B$12)</f>
        <v/>
      </c>
      <c r="F104" s="24">
        <f>D104*E104</f>
        <v/>
      </c>
    </row>
    <row r="105" ht="15" customHeight="1" s="20">
      <c r="A105" s="22" t="n">
        <v>45474</v>
      </c>
      <c r="B105" s="23" t="inlineStr">
        <is>
          <t>华北</t>
        </is>
      </c>
      <c r="C105" s="19" t="inlineStr">
        <is>
          <t>Delta</t>
        </is>
      </c>
      <c r="D105" s="24" t="n">
        <v>1146</v>
      </c>
      <c r="E105" s="24">
        <f>INDEX(Assumptions!$E$4:$E$8,MATCH($C105,Assumptions!$D$4:$D$8,0))*(1+Assumptions!$B$10)^((YEAR($A105)-2024))*(1-Assumptions!$B$12)</f>
        <v/>
      </c>
      <c r="F105" s="24">
        <f>D105*E105</f>
        <v/>
      </c>
    </row>
    <row r="106" ht="15" customHeight="1" s="20">
      <c r="A106" s="22" t="n">
        <v>45474</v>
      </c>
      <c r="B106" s="23" t="inlineStr">
        <is>
          <t>华北</t>
        </is>
      </c>
      <c r="C106" s="19" t="inlineStr">
        <is>
          <t>Epsilon</t>
        </is>
      </c>
      <c r="D106" s="24" t="n">
        <v>828</v>
      </c>
      <c r="E106" s="24">
        <f>INDEX(Assumptions!$E$4:$E$8,MATCH($C106,Assumptions!$D$4:$D$8,0))*(1+Assumptions!$B$10)^((YEAR($A106)-2024))*(1-Assumptions!$B$12)</f>
        <v/>
      </c>
      <c r="F106" s="24">
        <f>D106*E106</f>
        <v/>
      </c>
    </row>
    <row r="107" ht="15" customHeight="1" s="20">
      <c r="A107" s="22" t="n">
        <v>45505</v>
      </c>
      <c r="B107" s="23" t="inlineStr">
        <is>
          <t>华东</t>
        </is>
      </c>
      <c r="C107" s="19" t="inlineStr">
        <is>
          <t>Alpha</t>
        </is>
      </c>
      <c r="D107" s="24" t="n">
        <v>1887</v>
      </c>
      <c r="E107" s="24">
        <f>INDEX(Assumptions!$E$4:$E$8,MATCH($C107,Assumptions!$D$4:$D$8,0))*(1+Assumptions!$B$10)^((YEAR($A107)-2024))*(1-Assumptions!$B$12)</f>
        <v/>
      </c>
      <c r="F107" s="24">
        <f>D107*E107</f>
        <v/>
      </c>
    </row>
    <row r="108" ht="15" customHeight="1" s="20">
      <c r="A108" s="22" t="n">
        <v>45505</v>
      </c>
      <c r="B108" s="23" t="inlineStr">
        <is>
          <t>华东</t>
        </is>
      </c>
      <c r="C108" s="19" t="inlineStr">
        <is>
          <t>Beta</t>
        </is>
      </c>
      <c r="D108" s="24" t="n">
        <v>1440</v>
      </c>
      <c r="E108" s="24">
        <f>INDEX(Assumptions!$E$4:$E$8,MATCH($C108,Assumptions!$D$4:$D$8,0))*(1+Assumptions!$B$10)^((YEAR($A108)-2024))*(1-Assumptions!$B$12)</f>
        <v/>
      </c>
      <c r="F108" s="24">
        <f>D108*E108</f>
        <v/>
      </c>
    </row>
    <row r="109" ht="15" customHeight="1" s="20">
      <c r="A109" s="22" t="n">
        <v>45505</v>
      </c>
      <c r="B109" s="23" t="inlineStr">
        <is>
          <t>华东</t>
        </is>
      </c>
      <c r="C109" s="19" t="inlineStr">
        <is>
          <t>Gamma</t>
        </is>
      </c>
      <c r="D109" s="24" t="n">
        <v>1509</v>
      </c>
      <c r="E109" s="24">
        <f>INDEX(Assumptions!$E$4:$E$8,MATCH($C109,Assumptions!$D$4:$D$8,0))*(1+Assumptions!$B$10)^((YEAR($A109)-2024))*(1-Assumptions!$B$12)</f>
        <v/>
      </c>
      <c r="F109" s="24">
        <f>D109*E109</f>
        <v/>
      </c>
    </row>
    <row r="110" ht="15" customHeight="1" s="20">
      <c r="A110" s="22" t="n">
        <v>45505</v>
      </c>
      <c r="B110" s="23" t="inlineStr">
        <is>
          <t>华东</t>
        </is>
      </c>
      <c r="C110" s="19" t="inlineStr">
        <is>
          <t>Delta</t>
        </is>
      </c>
      <c r="D110" s="24" t="n">
        <v>1250</v>
      </c>
      <c r="E110" s="24">
        <f>INDEX(Assumptions!$E$4:$E$8,MATCH($C110,Assumptions!$D$4:$D$8,0))*(1+Assumptions!$B$10)^((YEAR($A110)-2024))*(1-Assumptions!$B$12)</f>
        <v/>
      </c>
      <c r="F110" s="24">
        <f>D110*E110</f>
        <v/>
      </c>
    </row>
    <row r="111" ht="15" customHeight="1" s="20">
      <c r="A111" s="22" t="n">
        <v>45505</v>
      </c>
      <c r="B111" s="23" t="inlineStr">
        <is>
          <t>华东</t>
        </is>
      </c>
      <c r="C111" s="19" t="inlineStr">
        <is>
          <t>Epsilon</t>
        </is>
      </c>
      <c r="D111" s="24" t="n">
        <v>1131</v>
      </c>
      <c r="E111" s="24">
        <f>INDEX(Assumptions!$E$4:$E$8,MATCH($C111,Assumptions!$D$4:$D$8,0))*(1+Assumptions!$B$10)^((YEAR($A111)-2024))*(1-Assumptions!$B$12)</f>
        <v/>
      </c>
      <c r="F111" s="24">
        <f>D111*E111</f>
        <v/>
      </c>
    </row>
    <row r="112" ht="15" customHeight="1" s="20">
      <c r="A112" s="22" t="n">
        <v>45505</v>
      </c>
      <c r="B112" s="23" t="inlineStr">
        <is>
          <t>华南</t>
        </is>
      </c>
      <c r="C112" s="19" t="inlineStr">
        <is>
          <t>Alpha</t>
        </is>
      </c>
      <c r="D112" s="24" t="n">
        <v>1752</v>
      </c>
      <c r="E112" s="24">
        <f>INDEX(Assumptions!$E$4:$E$8,MATCH($C112,Assumptions!$D$4:$D$8,0))*(1+Assumptions!$B$10)^((YEAR($A112)-2024))*(1-Assumptions!$B$12)</f>
        <v/>
      </c>
      <c r="F112" s="24">
        <f>D112*E112</f>
        <v/>
      </c>
    </row>
    <row r="113" ht="15" customHeight="1" s="20">
      <c r="A113" s="22" t="n">
        <v>45505</v>
      </c>
      <c r="B113" s="23" t="inlineStr">
        <is>
          <t>华南</t>
        </is>
      </c>
      <c r="C113" s="19" t="inlineStr">
        <is>
          <t>Beta</t>
        </is>
      </c>
      <c r="D113" s="24" t="n">
        <v>1316</v>
      </c>
      <c r="E113" s="24">
        <f>INDEX(Assumptions!$E$4:$E$8,MATCH($C113,Assumptions!$D$4:$D$8,0))*(1+Assumptions!$B$10)^((YEAR($A113)-2024))*(1-Assumptions!$B$12)</f>
        <v/>
      </c>
      <c r="F113" s="24">
        <f>D113*E113</f>
        <v/>
      </c>
    </row>
    <row r="114" ht="15" customHeight="1" s="20">
      <c r="A114" s="22" t="n">
        <v>45505</v>
      </c>
      <c r="B114" s="23" t="inlineStr">
        <is>
          <t>华南</t>
        </is>
      </c>
      <c r="C114" s="19" t="inlineStr">
        <is>
          <t>Gamma</t>
        </is>
      </c>
      <c r="D114" s="24" t="n">
        <v>1338</v>
      </c>
      <c r="E114" s="24">
        <f>INDEX(Assumptions!$E$4:$E$8,MATCH($C114,Assumptions!$D$4:$D$8,0))*(1+Assumptions!$B$10)^((YEAR($A114)-2024))*(1-Assumptions!$B$12)</f>
        <v/>
      </c>
      <c r="F114" s="24">
        <f>D114*E114</f>
        <v/>
      </c>
    </row>
    <row r="115" ht="15" customHeight="1" s="20">
      <c r="A115" s="22" t="n">
        <v>45505</v>
      </c>
      <c r="B115" s="23" t="inlineStr">
        <is>
          <t>华南</t>
        </is>
      </c>
      <c r="C115" s="19" t="inlineStr">
        <is>
          <t>Delta</t>
        </is>
      </c>
      <c r="D115" s="24" t="n">
        <v>996</v>
      </c>
      <c r="E115" s="24">
        <f>INDEX(Assumptions!$E$4:$E$8,MATCH($C115,Assumptions!$D$4:$D$8,0))*(1+Assumptions!$B$10)^((YEAR($A115)-2024))*(1-Assumptions!$B$12)</f>
        <v/>
      </c>
      <c r="F115" s="24">
        <f>D115*E115</f>
        <v/>
      </c>
    </row>
    <row r="116" ht="15" customHeight="1" s="20">
      <c r="A116" s="22" t="n">
        <v>45505</v>
      </c>
      <c r="B116" s="23" t="inlineStr">
        <is>
          <t>华南</t>
        </is>
      </c>
      <c r="C116" s="19" t="inlineStr">
        <is>
          <t>Epsilon</t>
        </is>
      </c>
      <c r="D116" s="24" t="n">
        <v>973</v>
      </c>
      <c r="E116" s="24">
        <f>INDEX(Assumptions!$E$4:$E$8,MATCH($C116,Assumptions!$D$4:$D$8,0))*(1+Assumptions!$B$10)^((YEAR($A116)-2024))*(1-Assumptions!$B$12)</f>
        <v/>
      </c>
      <c r="F116" s="24">
        <f>D116*E116</f>
        <v/>
      </c>
    </row>
    <row r="117" ht="15" customHeight="1" s="20">
      <c r="A117" s="22" t="n">
        <v>45505</v>
      </c>
      <c r="B117" s="23" t="inlineStr">
        <is>
          <t>华北</t>
        </is>
      </c>
      <c r="C117" s="19" t="inlineStr">
        <is>
          <t>Alpha</t>
        </is>
      </c>
      <c r="D117" s="24" t="n">
        <v>1575</v>
      </c>
      <c r="E117" s="24">
        <f>INDEX(Assumptions!$E$4:$E$8,MATCH($C117,Assumptions!$D$4:$D$8,0))*(1+Assumptions!$B$10)^((YEAR($A117)-2024))*(1-Assumptions!$B$12)</f>
        <v/>
      </c>
      <c r="F117" s="24">
        <f>D117*E117</f>
        <v/>
      </c>
    </row>
    <row r="118" ht="15" customHeight="1" s="20">
      <c r="A118" s="22" t="n">
        <v>45505</v>
      </c>
      <c r="B118" s="23" t="inlineStr">
        <is>
          <t>华北</t>
        </is>
      </c>
      <c r="C118" s="19" t="inlineStr">
        <is>
          <t>Beta</t>
        </is>
      </c>
      <c r="D118" s="24" t="n">
        <v>1198</v>
      </c>
      <c r="E118" s="24">
        <f>INDEX(Assumptions!$E$4:$E$8,MATCH($C118,Assumptions!$D$4:$D$8,0))*(1+Assumptions!$B$10)^((YEAR($A118)-2024))*(1-Assumptions!$B$12)</f>
        <v/>
      </c>
      <c r="F118" s="24">
        <f>D118*E118</f>
        <v/>
      </c>
    </row>
    <row r="119" ht="15" customHeight="1" s="20">
      <c r="A119" s="22" t="n">
        <v>45505</v>
      </c>
      <c r="B119" s="23" t="inlineStr">
        <is>
          <t>华北</t>
        </is>
      </c>
      <c r="C119" s="19" t="inlineStr">
        <is>
          <t>Gamma</t>
        </is>
      </c>
      <c r="D119" s="24" t="n">
        <v>1255</v>
      </c>
      <c r="E119" s="24">
        <f>INDEX(Assumptions!$E$4:$E$8,MATCH($C119,Assumptions!$D$4:$D$8,0))*(1+Assumptions!$B$10)^((YEAR($A119)-2024))*(1-Assumptions!$B$12)</f>
        <v/>
      </c>
      <c r="F119" s="24">
        <f>D119*E119</f>
        <v/>
      </c>
    </row>
    <row r="120" ht="15" customHeight="1" s="20">
      <c r="A120" s="22" t="n">
        <v>45505</v>
      </c>
      <c r="B120" s="23" t="inlineStr">
        <is>
          <t>华北</t>
        </is>
      </c>
      <c r="C120" s="19" t="inlineStr">
        <is>
          <t>Delta</t>
        </is>
      </c>
      <c r="D120" s="24" t="n">
        <v>1024</v>
      </c>
      <c r="E120" s="24">
        <f>INDEX(Assumptions!$E$4:$E$8,MATCH($C120,Assumptions!$D$4:$D$8,0))*(1+Assumptions!$B$10)^((YEAR($A120)-2024))*(1-Assumptions!$B$12)</f>
        <v/>
      </c>
      <c r="F120" s="24">
        <f>D120*E120</f>
        <v/>
      </c>
    </row>
    <row r="121" ht="15" customHeight="1" s="20">
      <c r="A121" s="22" t="n">
        <v>45505</v>
      </c>
      <c r="B121" s="23" t="inlineStr">
        <is>
          <t>华北</t>
        </is>
      </c>
      <c r="C121" s="19" t="inlineStr">
        <is>
          <t>Epsilon</t>
        </is>
      </c>
      <c r="D121" s="24" t="n">
        <v>698</v>
      </c>
      <c r="E121" s="24">
        <f>INDEX(Assumptions!$E$4:$E$8,MATCH($C121,Assumptions!$D$4:$D$8,0))*(1+Assumptions!$B$10)^((YEAR($A121)-2024))*(1-Assumptions!$B$12)</f>
        <v/>
      </c>
      <c r="F121" s="24">
        <f>D121*E121</f>
        <v/>
      </c>
    </row>
    <row r="122" ht="15" customHeight="1" s="20">
      <c r="A122" s="22" t="n">
        <v>45536</v>
      </c>
      <c r="B122" s="23" t="inlineStr">
        <is>
          <t>华东</t>
        </is>
      </c>
      <c r="C122" s="19" t="inlineStr">
        <is>
          <t>Alpha</t>
        </is>
      </c>
      <c r="D122" s="24" t="n">
        <v>1749</v>
      </c>
      <c r="E122" s="24">
        <f>INDEX(Assumptions!$E$4:$E$8,MATCH($C122,Assumptions!$D$4:$D$8,0))*(1+Assumptions!$B$10)^((YEAR($A122)-2024))*(1-Assumptions!$B$12)</f>
        <v/>
      </c>
      <c r="F122" s="24">
        <f>D122*E122</f>
        <v/>
      </c>
    </row>
    <row r="123" ht="15" customHeight="1" s="20">
      <c r="A123" s="22" t="n">
        <v>45536</v>
      </c>
      <c r="B123" s="23" t="inlineStr">
        <is>
          <t>华东</t>
        </is>
      </c>
      <c r="C123" s="19" t="inlineStr">
        <is>
          <t>Beta</t>
        </is>
      </c>
      <c r="D123" s="24" t="n">
        <v>1476</v>
      </c>
      <c r="E123" s="24">
        <f>INDEX(Assumptions!$E$4:$E$8,MATCH($C123,Assumptions!$D$4:$D$8,0))*(1+Assumptions!$B$10)^((YEAR($A123)-2024))*(1-Assumptions!$B$12)</f>
        <v/>
      </c>
      <c r="F123" s="24">
        <f>D123*E123</f>
        <v/>
      </c>
    </row>
    <row r="124" ht="15" customHeight="1" s="20">
      <c r="A124" s="22" t="n">
        <v>45536</v>
      </c>
      <c r="B124" s="23" t="inlineStr">
        <is>
          <t>华东</t>
        </is>
      </c>
      <c r="C124" s="19" t="inlineStr">
        <is>
          <t>Gamma</t>
        </is>
      </c>
      <c r="D124" s="24" t="n">
        <v>1493</v>
      </c>
      <c r="E124" s="24">
        <f>INDEX(Assumptions!$E$4:$E$8,MATCH($C124,Assumptions!$D$4:$D$8,0))*(1+Assumptions!$B$10)^((YEAR($A124)-2024))*(1-Assumptions!$B$12)</f>
        <v/>
      </c>
      <c r="F124" s="24">
        <f>D124*E124</f>
        <v/>
      </c>
    </row>
    <row r="125" ht="15" customHeight="1" s="20">
      <c r="A125" s="22" t="n">
        <v>45536</v>
      </c>
      <c r="B125" s="23" t="inlineStr">
        <is>
          <t>华东</t>
        </is>
      </c>
      <c r="C125" s="19" t="inlineStr">
        <is>
          <t>Delta</t>
        </is>
      </c>
      <c r="D125" s="24" t="n">
        <v>1145</v>
      </c>
      <c r="E125" s="24">
        <f>INDEX(Assumptions!$E$4:$E$8,MATCH($C125,Assumptions!$D$4:$D$8,0))*(1+Assumptions!$B$10)^((YEAR($A125)-2024))*(1-Assumptions!$B$12)</f>
        <v/>
      </c>
      <c r="F125" s="24">
        <f>D125*E125</f>
        <v/>
      </c>
    </row>
    <row r="126" ht="15" customHeight="1" s="20">
      <c r="A126" s="22" t="n">
        <v>45536</v>
      </c>
      <c r="B126" s="23" t="inlineStr">
        <is>
          <t>华东</t>
        </is>
      </c>
      <c r="C126" s="19" t="inlineStr">
        <is>
          <t>Epsilon</t>
        </is>
      </c>
      <c r="D126" s="24" t="n">
        <v>758</v>
      </c>
      <c r="E126" s="24">
        <f>INDEX(Assumptions!$E$4:$E$8,MATCH($C126,Assumptions!$D$4:$D$8,0))*(1+Assumptions!$B$10)^((YEAR($A126)-2024))*(1-Assumptions!$B$12)</f>
        <v/>
      </c>
      <c r="F126" s="24">
        <f>D126*E126</f>
        <v/>
      </c>
    </row>
    <row r="127" ht="15" customHeight="1" s="20">
      <c r="A127" s="22" t="n">
        <v>45536</v>
      </c>
      <c r="B127" s="23" t="inlineStr">
        <is>
          <t>华南</t>
        </is>
      </c>
      <c r="C127" s="19" t="inlineStr">
        <is>
          <t>Alpha</t>
        </is>
      </c>
      <c r="D127" s="24" t="n">
        <v>1335</v>
      </c>
      <c r="E127" s="24">
        <f>INDEX(Assumptions!$E$4:$E$8,MATCH($C127,Assumptions!$D$4:$D$8,0))*(1+Assumptions!$B$10)^((YEAR($A127)-2024))*(1-Assumptions!$B$12)</f>
        <v/>
      </c>
      <c r="F127" s="24">
        <f>D127*E127</f>
        <v/>
      </c>
    </row>
    <row r="128" ht="15" customHeight="1" s="20">
      <c r="A128" s="22" t="n">
        <v>45536</v>
      </c>
      <c r="B128" s="23" t="inlineStr">
        <is>
          <t>华南</t>
        </is>
      </c>
      <c r="C128" s="19" t="inlineStr">
        <is>
          <t>Beta</t>
        </is>
      </c>
      <c r="D128" s="24" t="n">
        <v>1086</v>
      </c>
      <c r="E128" s="24">
        <f>INDEX(Assumptions!$E$4:$E$8,MATCH($C128,Assumptions!$D$4:$D$8,0))*(1+Assumptions!$B$10)^((YEAR($A128)-2024))*(1-Assumptions!$B$12)</f>
        <v/>
      </c>
      <c r="F128" s="24">
        <f>D128*E128</f>
        <v/>
      </c>
    </row>
    <row r="129" ht="15" customHeight="1" s="20">
      <c r="A129" s="22" t="n">
        <v>45536</v>
      </c>
      <c r="B129" s="23" t="inlineStr">
        <is>
          <t>华南</t>
        </is>
      </c>
      <c r="C129" s="19" t="inlineStr">
        <is>
          <t>Gamma</t>
        </is>
      </c>
      <c r="D129" s="24" t="n">
        <v>1353</v>
      </c>
      <c r="E129" s="24">
        <f>INDEX(Assumptions!$E$4:$E$8,MATCH($C129,Assumptions!$D$4:$D$8,0))*(1+Assumptions!$B$10)^((YEAR($A129)-2024))*(1-Assumptions!$B$12)</f>
        <v/>
      </c>
      <c r="F129" s="24">
        <f>D129*E129</f>
        <v/>
      </c>
    </row>
    <row r="130" ht="15" customHeight="1" s="20">
      <c r="A130" s="22" t="n">
        <v>45536</v>
      </c>
      <c r="B130" s="23" t="inlineStr">
        <is>
          <t>华南</t>
        </is>
      </c>
      <c r="C130" s="19" t="inlineStr">
        <is>
          <t>Delta</t>
        </is>
      </c>
      <c r="D130" s="24" t="n">
        <v>1099</v>
      </c>
      <c r="E130" s="24">
        <f>INDEX(Assumptions!$E$4:$E$8,MATCH($C130,Assumptions!$D$4:$D$8,0))*(1+Assumptions!$B$10)^((YEAR($A130)-2024))*(1-Assumptions!$B$12)</f>
        <v/>
      </c>
      <c r="F130" s="24">
        <f>D130*E130</f>
        <v/>
      </c>
    </row>
    <row r="131" ht="15" customHeight="1" s="20">
      <c r="A131" s="22" t="n">
        <v>45536</v>
      </c>
      <c r="B131" s="23" t="inlineStr">
        <is>
          <t>华南</t>
        </is>
      </c>
      <c r="C131" s="19" t="inlineStr">
        <is>
          <t>Epsilon</t>
        </is>
      </c>
      <c r="D131" s="24" t="n">
        <v>852</v>
      </c>
      <c r="E131" s="24">
        <f>INDEX(Assumptions!$E$4:$E$8,MATCH($C131,Assumptions!$D$4:$D$8,0))*(1+Assumptions!$B$10)^((YEAR($A131)-2024))*(1-Assumptions!$B$12)</f>
        <v/>
      </c>
      <c r="F131" s="24">
        <f>D131*E131</f>
        <v/>
      </c>
    </row>
    <row r="132" ht="15" customHeight="1" s="20">
      <c r="A132" s="22" t="n">
        <v>45536</v>
      </c>
      <c r="B132" s="23" t="inlineStr">
        <is>
          <t>华北</t>
        </is>
      </c>
      <c r="C132" s="19" t="inlineStr">
        <is>
          <t>Alpha</t>
        </is>
      </c>
      <c r="D132" s="24" t="n">
        <v>1195</v>
      </c>
      <c r="E132" s="24">
        <f>INDEX(Assumptions!$E$4:$E$8,MATCH($C132,Assumptions!$D$4:$D$8,0))*(1+Assumptions!$B$10)^((YEAR($A132)-2024))*(1-Assumptions!$B$12)</f>
        <v/>
      </c>
      <c r="F132" s="24">
        <f>D132*E132</f>
        <v/>
      </c>
    </row>
    <row r="133" ht="15" customHeight="1" s="20">
      <c r="A133" s="22" t="n">
        <v>45536</v>
      </c>
      <c r="B133" s="23" t="inlineStr">
        <is>
          <t>华北</t>
        </is>
      </c>
      <c r="C133" s="19" t="inlineStr">
        <is>
          <t>Beta</t>
        </is>
      </c>
      <c r="D133" s="24" t="n">
        <v>990</v>
      </c>
      <c r="E133" s="24">
        <f>INDEX(Assumptions!$E$4:$E$8,MATCH($C133,Assumptions!$D$4:$D$8,0))*(1+Assumptions!$B$10)^((YEAR($A133)-2024))*(1-Assumptions!$B$12)</f>
        <v/>
      </c>
      <c r="F133" s="24">
        <f>D133*E133</f>
        <v/>
      </c>
    </row>
    <row r="134" ht="15" customHeight="1" s="20">
      <c r="A134" s="22" t="n">
        <v>45536</v>
      </c>
      <c r="B134" s="23" t="inlineStr">
        <is>
          <t>华北</t>
        </is>
      </c>
      <c r="C134" s="19" t="inlineStr">
        <is>
          <t>Gamma</t>
        </is>
      </c>
      <c r="D134" s="24" t="n">
        <v>1201</v>
      </c>
      <c r="E134" s="24">
        <f>INDEX(Assumptions!$E$4:$E$8,MATCH($C134,Assumptions!$D$4:$D$8,0))*(1+Assumptions!$B$10)^((YEAR($A134)-2024))*(1-Assumptions!$B$12)</f>
        <v/>
      </c>
      <c r="F134" s="24">
        <f>D134*E134</f>
        <v/>
      </c>
    </row>
    <row r="135" ht="15" customHeight="1" s="20">
      <c r="A135" s="22" t="n">
        <v>45536</v>
      </c>
      <c r="B135" s="23" t="inlineStr">
        <is>
          <t>华北</t>
        </is>
      </c>
      <c r="C135" s="19" t="inlineStr">
        <is>
          <t>Delta</t>
        </is>
      </c>
      <c r="D135" s="24" t="n">
        <v>1007</v>
      </c>
      <c r="E135" s="24">
        <f>INDEX(Assumptions!$E$4:$E$8,MATCH($C135,Assumptions!$D$4:$D$8,0))*(1+Assumptions!$B$10)^((YEAR($A135)-2024))*(1-Assumptions!$B$12)</f>
        <v/>
      </c>
      <c r="F135" s="24">
        <f>D135*E135</f>
        <v/>
      </c>
    </row>
    <row r="136" ht="15" customHeight="1" s="20">
      <c r="A136" s="22" t="n">
        <v>45536</v>
      </c>
      <c r="B136" s="23" t="inlineStr">
        <is>
          <t>华北</t>
        </is>
      </c>
      <c r="C136" s="19" t="inlineStr">
        <is>
          <t>Epsilon</t>
        </is>
      </c>
      <c r="D136" s="24" t="n">
        <v>611</v>
      </c>
      <c r="E136" s="24">
        <f>INDEX(Assumptions!$E$4:$E$8,MATCH($C136,Assumptions!$D$4:$D$8,0))*(1+Assumptions!$B$10)^((YEAR($A136)-2024))*(1-Assumptions!$B$12)</f>
        <v/>
      </c>
      <c r="F136" s="24">
        <f>D136*E136</f>
        <v/>
      </c>
    </row>
    <row r="137" ht="15" customHeight="1" s="20">
      <c r="A137" s="22" t="n">
        <v>45566</v>
      </c>
      <c r="B137" s="23" t="inlineStr">
        <is>
          <t>华东</t>
        </is>
      </c>
      <c r="C137" s="19" t="inlineStr">
        <is>
          <t>Alpha</t>
        </is>
      </c>
      <c r="D137" s="24" t="n">
        <v>1545</v>
      </c>
      <c r="E137" s="24">
        <f>INDEX(Assumptions!$E$4:$E$8,MATCH($C137,Assumptions!$D$4:$D$8,0))*(1+Assumptions!$B$10)^((YEAR($A137)-2024))*(1-Assumptions!$B$12)</f>
        <v/>
      </c>
      <c r="F137" s="24">
        <f>D137*E137</f>
        <v/>
      </c>
    </row>
    <row r="138" ht="15" customHeight="1" s="20">
      <c r="A138" s="22" t="n">
        <v>45566</v>
      </c>
      <c r="B138" s="23" t="inlineStr">
        <is>
          <t>华东</t>
        </is>
      </c>
      <c r="C138" s="19" t="inlineStr">
        <is>
          <t>Beta</t>
        </is>
      </c>
      <c r="D138" s="24" t="n">
        <v>1216</v>
      </c>
      <c r="E138" s="24">
        <f>INDEX(Assumptions!$E$4:$E$8,MATCH($C138,Assumptions!$D$4:$D$8,0))*(1+Assumptions!$B$10)^((YEAR($A138)-2024))*(1-Assumptions!$B$12)</f>
        <v/>
      </c>
      <c r="F138" s="24">
        <f>D138*E138</f>
        <v/>
      </c>
    </row>
    <row r="139" ht="15" customHeight="1" s="20">
      <c r="A139" s="22" t="n">
        <v>45566</v>
      </c>
      <c r="B139" s="23" t="inlineStr">
        <is>
          <t>华东</t>
        </is>
      </c>
      <c r="C139" s="19" t="inlineStr">
        <is>
          <t>Gamma</t>
        </is>
      </c>
      <c r="D139" s="24" t="n">
        <v>1422</v>
      </c>
      <c r="E139" s="24">
        <f>INDEX(Assumptions!$E$4:$E$8,MATCH($C139,Assumptions!$D$4:$D$8,0))*(1+Assumptions!$B$10)^((YEAR($A139)-2024))*(1-Assumptions!$B$12)</f>
        <v/>
      </c>
      <c r="F139" s="24">
        <f>D139*E139</f>
        <v/>
      </c>
    </row>
    <row r="140" ht="15" customHeight="1" s="20">
      <c r="A140" s="22" t="n">
        <v>45566</v>
      </c>
      <c r="B140" s="23" t="inlineStr">
        <is>
          <t>华东</t>
        </is>
      </c>
      <c r="C140" s="19" t="inlineStr">
        <is>
          <t>Delta</t>
        </is>
      </c>
      <c r="D140" s="24" t="n">
        <v>1173</v>
      </c>
      <c r="E140" s="24">
        <f>INDEX(Assumptions!$E$4:$E$8,MATCH($C140,Assumptions!$D$4:$D$8,0))*(1+Assumptions!$B$10)^((YEAR($A140)-2024))*(1-Assumptions!$B$12)</f>
        <v/>
      </c>
      <c r="F140" s="24">
        <f>D140*E140</f>
        <v/>
      </c>
    </row>
    <row r="141" ht="15" customHeight="1" s="20">
      <c r="A141" s="22" t="n">
        <v>45566</v>
      </c>
      <c r="B141" s="23" t="inlineStr">
        <is>
          <t>华东</t>
        </is>
      </c>
      <c r="C141" s="19" t="inlineStr">
        <is>
          <t>Epsilon</t>
        </is>
      </c>
      <c r="D141" s="24" t="n">
        <v>758</v>
      </c>
      <c r="E141" s="24">
        <f>INDEX(Assumptions!$E$4:$E$8,MATCH($C141,Assumptions!$D$4:$D$8,0))*(1+Assumptions!$B$10)^((YEAR($A141)-2024))*(1-Assumptions!$B$12)</f>
        <v/>
      </c>
      <c r="F141" s="24">
        <f>D141*E141</f>
        <v/>
      </c>
    </row>
    <row r="142" ht="15" customHeight="1" s="20">
      <c r="A142" s="22" t="n">
        <v>45566</v>
      </c>
      <c r="B142" s="23" t="inlineStr">
        <is>
          <t>华南</t>
        </is>
      </c>
      <c r="C142" s="19" t="inlineStr">
        <is>
          <t>Alpha</t>
        </is>
      </c>
      <c r="D142" s="24" t="n">
        <v>1339</v>
      </c>
      <c r="E142" s="24">
        <f>INDEX(Assumptions!$E$4:$E$8,MATCH($C142,Assumptions!$D$4:$D$8,0))*(1+Assumptions!$B$10)^((YEAR($A142)-2024))*(1-Assumptions!$B$12)</f>
        <v/>
      </c>
      <c r="F142" s="24">
        <f>D142*E142</f>
        <v/>
      </c>
    </row>
    <row r="143" ht="15" customHeight="1" s="20">
      <c r="A143" s="22" t="n">
        <v>45566</v>
      </c>
      <c r="B143" s="23" t="inlineStr">
        <is>
          <t>华南</t>
        </is>
      </c>
      <c r="C143" s="19" t="inlineStr">
        <is>
          <t>Beta</t>
        </is>
      </c>
      <c r="D143" s="24" t="n">
        <v>1233</v>
      </c>
      <c r="E143" s="24">
        <f>INDEX(Assumptions!$E$4:$E$8,MATCH($C143,Assumptions!$D$4:$D$8,0))*(1+Assumptions!$B$10)^((YEAR($A143)-2024))*(1-Assumptions!$B$12)</f>
        <v/>
      </c>
      <c r="F143" s="24">
        <f>D143*E143</f>
        <v/>
      </c>
    </row>
    <row r="144" ht="15" customHeight="1" s="20">
      <c r="A144" s="22" t="n">
        <v>45566</v>
      </c>
      <c r="B144" s="23" t="inlineStr">
        <is>
          <t>华南</t>
        </is>
      </c>
      <c r="C144" s="19" t="inlineStr">
        <is>
          <t>Gamma</t>
        </is>
      </c>
      <c r="D144" s="24" t="n">
        <v>1066</v>
      </c>
      <c r="E144" s="24">
        <f>INDEX(Assumptions!$E$4:$E$8,MATCH($C144,Assumptions!$D$4:$D$8,0))*(1+Assumptions!$B$10)^((YEAR($A144)-2024))*(1-Assumptions!$B$12)</f>
        <v/>
      </c>
      <c r="F144" s="24">
        <f>D144*E144</f>
        <v/>
      </c>
    </row>
    <row r="145" ht="15" customHeight="1" s="20">
      <c r="A145" s="22" t="n">
        <v>45566</v>
      </c>
      <c r="B145" s="23" t="inlineStr">
        <is>
          <t>华南</t>
        </is>
      </c>
      <c r="C145" s="19" t="inlineStr">
        <is>
          <t>Delta</t>
        </is>
      </c>
      <c r="D145" s="24" t="n">
        <v>1050</v>
      </c>
      <c r="E145" s="24">
        <f>INDEX(Assumptions!$E$4:$E$8,MATCH($C145,Assumptions!$D$4:$D$8,0))*(1+Assumptions!$B$10)^((YEAR($A145)-2024))*(1-Assumptions!$B$12)</f>
        <v/>
      </c>
      <c r="F145" s="24">
        <f>D145*E145</f>
        <v/>
      </c>
    </row>
    <row r="146" ht="15" customHeight="1" s="20">
      <c r="A146" s="22" t="n">
        <v>45566</v>
      </c>
      <c r="B146" s="23" t="inlineStr">
        <is>
          <t>华南</t>
        </is>
      </c>
      <c r="C146" s="19" t="inlineStr">
        <is>
          <t>Epsilon</t>
        </is>
      </c>
      <c r="D146" s="24" t="n">
        <v>725</v>
      </c>
      <c r="E146" s="24">
        <f>INDEX(Assumptions!$E$4:$E$8,MATCH($C146,Assumptions!$D$4:$D$8,0))*(1+Assumptions!$B$10)^((YEAR($A146)-2024))*(1-Assumptions!$B$12)</f>
        <v/>
      </c>
      <c r="F146" s="24">
        <f>D146*E146</f>
        <v/>
      </c>
    </row>
    <row r="147" ht="15" customHeight="1" s="20">
      <c r="A147" s="22" t="n">
        <v>45566</v>
      </c>
      <c r="B147" s="23" t="inlineStr">
        <is>
          <t>华北</t>
        </is>
      </c>
      <c r="C147" s="19" t="inlineStr">
        <is>
          <t>Alpha</t>
        </is>
      </c>
      <c r="D147" s="24" t="n">
        <v>1109</v>
      </c>
      <c r="E147" s="24">
        <f>INDEX(Assumptions!$E$4:$E$8,MATCH($C147,Assumptions!$D$4:$D$8,0))*(1+Assumptions!$B$10)^((YEAR($A147)-2024))*(1-Assumptions!$B$12)</f>
        <v/>
      </c>
      <c r="F147" s="24">
        <f>D147*E147</f>
        <v/>
      </c>
    </row>
    <row r="148" ht="15" customHeight="1" s="20">
      <c r="A148" s="22" t="n">
        <v>45566</v>
      </c>
      <c r="B148" s="23" t="inlineStr">
        <is>
          <t>华北</t>
        </is>
      </c>
      <c r="C148" s="19" t="inlineStr">
        <is>
          <t>Beta</t>
        </is>
      </c>
      <c r="D148" s="24" t="n">
        <v>1106</v>
      </c>
      <c r="E148" s="24">
        <f>INDEX(Assumptions!$E$4:$E$8,MATCH($C148,Assumptions!$D$4:$D$8,0))*(1+Assumptions!$B$10)^((YEAR($A148)-2024))*(1-Assumptions!$B$12)</f>
        <v/>
      </c>
      <c r="F148" s="24">
        <f>D148*E148</f>
        <v/>
      </c>
    </row>
    <row r="149" ht="15" customHeight="1" s="20">
      <c r="A149" s="22" t="n">
        <v>45566</v>
      </c>
      <c r="B149" s="23" t="inlineStr">
        <is>
          <t>华北</t>
        </is>
      </c>
      <c r="C149" s="19" t="inlineStr">
        <is>
          <t>Gamma</t>
        </is>
      </c>
      <c r="D149" s="24" t="n">
        <v>1103</v>
      </c>
      <c r="E149" s="24">
        <f>INDEX(Assumptions!$E$4:$E$8,MATCH($C149,Assumptions!$D$4:$D$8,0))*(1+Assumptions!$B$10)^((YEAR($A149)-2024))*(1-Assumptions!$B$12)</f>
        <v/>
      </c>
      <c r="F149" s="24">
        <f>D149*E149</f>
        <v/>
      </c>
    </row>
    <row r="150" ht="15" customHeight="1" s="20">
      <c r="A150" s="22" t="n">
        <v>45566</v>
      </c>
      <c r="B150" s="23" t="inlineStr">
        <is>
          <t>华北</t>
        </is>
      </c>
      <c r="C150" s="19" t="inlineStr">
        <is>
          <t>Delta</t>
        </is>
      </c>
      <c r="D150" s="24" t="n">
        <v>774</v>
      </c>
      <c r="E150" s="24">
        <f>INDEX(Assumptions!$E$4:$E$8,MATCH($C150,Assumptions!$D$4:$D$8,0))*(1+Assumptions!$B$10)^((YEAR($A150)-2024))*(1-Assumptions!$B$12)</f>
        <v/>
      </c>
      <c r="F150" s="24">
        <f>D150*E150</f>
        <v/>
      </c>
    </row>
    <row r="151" ht="15" customHeight="1" s="20">
      <c r="A151" s="22" t="n">
        <v>45566</v>
      </c>
      <c r="B151" s="23" t="inlineStr">
        <is>
          <t>华北</t>
        </is>
      </c>
      <c r="C151" s="19" t="inlineStr">
        <is>
          <t>Epsilon</t>
        </is>
      </c>
      <c r="D151" s="24" t="n">
        <v>630</v>
      </c>
      <c r="E151" s="24">
        <f>INDEX(Assumptions!$E$4:$E$8,MATCH($C151,Assumptions!$D$4:$D$8,0))*(1+Assumptions!$B$10)^((YEAR($A151)-2024))*(1-Assumptions!$B$12)</f>
        <v/>
      </c>
      <c r="F151" s="24">
        <f>D151*E151</f>
        <v/>
      </c>
    </row>
    <row r="152" ht="15" customHeight="1" s="20">
      <c r="A152" s="22" t="n">
        <v>45597</v>
      </c>
      <c r="B152" s="23" t="inlineStr">
        <is>
          <t>华东</t>
        </is>
      </c>
      <c r="C152" s="19" t="inlineStr">
        <is>
          <t>Alpha</t>
        </is>
      </c>
      <c r="D152" s="24" t="n">
        <v>1862</v>
      </c>
      <c r="E152" s="24">
        <f>INDEX(Assumptions!$E$4:$E$8,MATCH($C152,Assumptions!$D$4:$D$8,0))*(1+Assumptions!$B$10)^((YEAR($A152)-2024))*(1-Assumptions!$B$12)</f>
        <v/>
      </c>
      <c r="F152" s="24">
        <f>D152*E152</f>
        <v/>
      </c>
    </row>
    <row r="153" ht="15" customHeight="1" s="20">
      <c r="A153" s="22" t="n">
        <v>45597</v>
      </c>
      <c r="B153" s="23" t="inlineStr">
        <is>
          <t>华东</t>
        </is>
      </c>
      <c r="C153" s="19" t="inlineStr">
        <is>
          <t>Beta</t>
        </is>
      </c>
      <c r="D153" s="24" t="n">
        <v>1525</v>
      </c>
      <c r="E153" s="24">
        <f>INDEX(Assumptions!$E$4:$E$8,MATCH($C153,Assumptions!$D$4:$D$8,0))*(1+Assumptions!$B$10)^((YEAR($A153)-2024))*(1-Assumptions!$B$12)</f>
        <v/>
      </c>
      <c r="F153" s="24">
        <f>D153*E153</f>
        <v/>
      </c>
    </row>
    <row r="154" ht="15" customHeight="1" s="20">
      <c r="A154" s="22" t="n">
        <v>45597</v>
      </c>
      <c r="B154" s="23" t="inlineStr">
        <is>
          <t>华东</t>
        </is>
      </c>
      <c r="C154" s="19" t="inlineStr">
        <is>
          <t>Gamma</t>
        </is>
      </c>
      <c r="D154" s="24" t="n">
        <v>1352</v>
      </c>
      <c r="E154" s="24">
        <f>INDEX(Assumptions!$E$4:$E$8,MATCH($C154,Assumptions!$D$4:$D$8,0))*(1+Assumptions!$B$10)^((YEAR($A154)-2024))*(1-Assumptions!$B$12)</f>
        <v/>
      </c>
      <c r="F154" s="24">
        <f>D154*E154</f>
        <v/>
      </c>
    </row>
    <row r="155" ht="15" customHeight="1" s="20">
      <c r="A155" s="22" t="n">
        <v>45597</v>
      </c>
      <c r="B155" s="23" t="inlineStr">
        <is>
          <t>华东</t>
        </is>
      </c>
      <c r="C155" s="19" t="inlineStr">
        <is>
          <t>Delta</t>
        </is>
      </c>
      <c r="D155" s="24" t="n">
        <v>1141</v>
      </c>
      <c r="E155" s="24">
        <f>INDEX(Assumptions!$E$4:$E$8,MATCH($C155,Assumptions!$D$4:$D$8,0))*(1+Assumptions!$B$10)^((YEAR($A155)-2024))*(1-Assumptions!$B$12)</f>
        <v/>
      </c>
      <c r="F155" s="24">
        <f>D155*E155</f>
        <v/>
      </c>
    </row>
    <row r="156" ht="15" customHeight="1" s="20">
      <c r="A156" s="22" t="n">
        <v>45597</v>
      </c>
      <c r="B156" s="23" t="inlineStr">
        <is>
          <t>华东</t>
        </is>
      </c>
      <c r="C156" s="19" t="inlineStr">
        <is>
          <t>Epsilon</t>
        </is>
      </c>
      <c r="D156" s="24" t="n">
        <v>790</v>
      </c>
      <c r="E156" s="24">
        <f>INDEX(Assumptions!$E$4:$E$8,MATCH($C156,Assumptions!$D$4:$D$8,0))*(1+Assumptions!$B$10)^((YEAR($A156)-2024))*(1-Assumptions!$B$12)</f>
        <v/>
      </c>
      <c r="F156" s="24">
        <f>D156*E156</f>
        <v/>
      </c>
    </row>
    <row r="157" ht="15" customHeight="1" s="20">
      <c r="A157" s="22" t="n">
        <v>45597</v>
      </c>
      <c r="B157" s="23" t="inlineStr">
        <is>
          <t>华南</t>
        </is>
      </c>
      <c r="C157" s="19" t="inlineStr">
        <is>
          <t>Alpha</t>
        </is>
      </c>
      <c r="D157" s="24" t="n">
        <v>1293</v>
      </c>
      <c r="E157" s="24">
        <f>INDEX(Assumptions!$E$4:$E$8,MATCH($C157,Assumptions!$D$4:$D$8,0))*(1+Assumptions!$B$10)^((YEAR($A157)-2024))*(1-Assumptions!$B$12)</f>
        <v/>
      </c>
      <c r="F157" s="24">
        <f>D157*E157</f>
        <v/>
      </c>
    </row>
    <row r="158" ht="15" customHeight="1" s="20">
      <c r="A158" s="22" t="n">
        <v>45597</v>
      </c>
      <c r="B158" s="23" t="inlineStr">
        <is>
          <t>华南</t>
        </is>
      </c>
      <c r="C158" s="19" t="inlineStr">
        <is>
          <t>Beta</t>
        </is>
      </c>
      <c r="D158" s="24" t="n">
        <v>1207</v>
      </c>
      <c r="E158" s="24">
        <f>INDEX(Assumptions!$E$4:$E$8,MATCH($C158,Assumptions!$D$4:$D$8,0))*(1+Assumptions!$B$10)^((YEAR($A158)-2024))*(1-Assumptions!$B$12)</f>
        <v/>
      </c>
      <c r="F158" s="24">
        <f>D158*E158</f>
        <v/>
      </c>
    </row>
    <row r="159" ht="15" customHeight="1" s="20">
      <c r="A159" s="22" t="n">
        <v>45597</v>
      </c>
      <c r="B159" s="23" t="inlineStr">
        <is>
          <t>华南</t>
        </is>
      </c>
      <c r="C159" s="19" t="inlineStr">
        <is>
          <t>Gamma</t>
        </is>
      </c>
      <c r="D159" s="24" t="n">
        <v>1230</v>
      </c>
      <c r="E159" s="24">
        <f>INDEX(Assumptions!$E$4:$E$8,MATCH($C159,Assumptions!$D$4:$D$8,0))*(1+Assumptions!$B$10)^((YEAR($A159)-2024))*(1-Assumptions!$B$12)</f>
        <v/>
      </c>
      <c r="F159" s="24">
        <f>D159*E159</f>
        <v/>
      </c>
    </row>
    <row r="160" ht="15" customHeight="1" s="20">
      <c r="A160" s="22" t="n">
        <v>45597</v>
      </c>
      <c r="B160" s="23" t="inlineStr">
        <is>
          <t>华南</t>
        </is>
      </c>
      <c r="C160" s="19" t="inlineStr">
        <is>
          <t>Delta</t>
        </is>
      </c>
      <c r="D160" s="24" t="n">
        <v>907</v>
      </c>
      <c r="E160" s="24">
        <f>INDEX(Assumptions!$E$4:$E$8,MATCH($C160,Assumptions!$D$4:$D$8,0))*(1+Assumptions!$B$10)^((YEAR($A160)-2024))*(1-Assumptions!$B$12)</f>
        <v/>
      </c>
      <c r="F160" s="24">
        <f>D160*E160</f>
        <v/>
      </c>
    </row>
    <row r="161" ht="15" customHeight="1" s="20">
      <c r="A161" s="22" t="n">
        <v>45597</v>
      </c>
      <c r="B161" s="23" t="inlineStr">
        <is>
          <t>华南</t>
        </is>
      </c>
      <c r="C161" s="19" t="inlineStr">
        <is>
          <t>Epsilon</t>
        </is>
      </c>
      <c r="D161" s="24" t="n">
        <v>710</v>
      </c>
      <c r="E161" s="24">
        <f>INDEX(Assumptions!$E$4:$E$8,MATCH($C161,Assumptions!$D$4:$D$8,0))*(1+Assumptions!$B$10)^((YEAR($A161)-2024))*(1-Assumptions!$B$12)</f>
        <v/>
      </c>
      <c r="F161" s="24">
        <f>D161*E161</f>
        <v/>
      </c>
    </row>
    <row r="162" ht="15" customHeight="1" s="20">
      <c r="A162" s="22" t="n">
        <v>45597</v>
      </c>
      <c r="B162" s="23" t="inlineStr">
        <is>
          <t>华北</t>
        </is>
      </c>
      <c r="C162" s="19" t="inlineStr">
        <is>
          <t>Alpha</t>
        </is>
      </c>
      <c r="D162" s="24" t="n">
        <v>1105</v>
      </c>
      <c r="E162" s="24">
        <f>INDEX(Assumptions!$E$4:$E$8,MATCH($C162,Assumptions!$D$4:$D$8,0))*(1+Assumptions!$B$10)^((YEAR($A162)-2024))*(1-Assumptions!$B$12)</f>
        <v/>
      </c>
      <c r="F162" s="24">
        <f>D162*E162</f>
        <v/>
      </c>
    </row>
    <row r="163" ht="15" customHeight="1" s="20">
      <c r="A163" s="22" t="n">
        <v>45597</v>
      </c>
      <c r="B163" s="23" t="inlineStr">
        <is>
          <t>华北</t>
        </is>
      </c>
      <c r="C163" s="19" t="inlineStr">
        <is>
          <t>Beta</t>
        </is>
      </c>
      <c r="D163" s="24" t="n">
        <v>1187</v>
      </c>
      <c r="E163" s="24">
        <f>INDEX(Assumptions!$E$4:$E$8,MATCH($C163,Assumptions!$D$4:$D$8,0))*(1+Assumptions!$B$10)^((YEAR($A163)-2024))*(1-Assumptions!$B$12)</f>
        <v/>
      </c>
      <c r="F163" s="24">
        <f>D163*E163</f>
        <v/>
      </c>
    </row>
    <row r="164" ht="15" customHeight="1" s="20">
      <c r="A164" s="22" t="n">
        <v>45597</v>
      </c>
      <c r="B164" s="23" t="inlineStr">
        <is>
          <t>华北</t>
        </is>
      </c>
      <c r="C164" s="19" t="inlineStr">
        <is>
          <t>Gamma</t>
        </is>
      </c>
      <c r="D164" s="24" t="n">
        <v>991</v>
      </c>
      <c r="E164" s="24">
        <f>INDEX(Assumptions!$E$4:$E$8,MATCH($C164,Assumptions!$D$4:$D$8,0))*(1+Assumptions!$B$10)^((YEAR($A164)-2024))*(1-Assumptions!$B$12)</f>
        <v/>
      </c>
      <c r="F164" s="24">
        <f>D164*E164</f>
        <v/>
      </c>
    </row>
    <row r="165" ht="15" customHeight="1" s="20">
      <c r="A165" s="22" t="n">
        <v>45597</v>
      </c>
      <c r="B165" s="23" t="inlineStr">
        <is>
          <t>华北</t>
        </is>
      </c>
      <c r="C165" s="19" t="inlineStr">
        <is>
          <t>Delta</t>
        </is>
      </c>
      <c r="D165" s="24" t="n">
        <v>996</v>
      </c>
      <c r="E165" s="24">
        <f>INDEX(Assumptions!$E$4:$E$8,MATCH($C165,Assumptions!$D$4:$D$8,0))*(1+Assumptions!$B$10)^((YEAR($A165)-2024))*(1-Assumptions!$B$12)</f>
        <v/>
      </c>
      <c r="F165" s="24">
        <f>D165*E165</f>
        <v/>
      </c>
    </row>
    <row r="166" ht="15" customHeight="1" s="20">
      <c r="A166" s="22" t="n">
        <v>45597</v>
      </c>
      <c r="B166" s="23" t="inlineStr">
        <is>
          <t>华北</t>
        </is>
      </c>
      <c r="C166" s="19" t="inlineStr">
        <is>
          <t>Epsilon</t>
        </is>
      </c>
      <c r="D166" s="24" t="n">
        <v>773</v>
      </c>
      <c r="E166" s="24">
        <f>INDEX(Assumptions!$E$4:$E$8,MATCH($C166,Assumptions!$D$4:$D$8,0))*(1+Assumptions!$B$10)^((YEAR($A166)-2024))*(1-Assumptions!$B$12)</f>
        <v/>
      </c>
      <c r="F166" s="24">
        <f>D166*E166</f>
        <v/>
      </c>
    </row>
    <row r="167" ht="15" customHeight="1" s="20">
      <c r="A167" s="22" t="n">
        <v>45627</v>
      </c>
      <c r="B167" s="23" t="inlineStr">
        <is>
          <t>华东</t>
        </is>
      </c>
      <c r="C167" s="19" t="inlineStr">
        <is>
          <t>Alpha</t>
        </is>
      </c>
      <c r="D167" s="24" t="n">
        <v>1578</v>
      </c>
      <c r="E167" s="24">
        <f>INDEX(Assumptions!$E$4:$E$8,MATCH($C167,Assumptions!$D$4:$D$8,0))*(1+Assumptions!$B$10)^((YEAR($A167)-2024))*(1-Assumptions!$B$12)</f>
        <v/>
      </c>
      <c r="F167" s="24">
        <f>D167*E167</f>
        <v/>
      </c>
    </row>
    <row r="168" ht="15" customHeight="1" s="20">
      <c r="A168" s="22" t="n">
        <v>45627</v>
      </c>
      <c r="B168" s="23" t="inlineStr">
        <is>
          <t>华东</t>
        </is>
      </c>
      <c r="C168" s="19" t="inlineStr">
        <is>
          <t>Beta</t>
        </is>
      </c>
      <c r="D168" s="24" t="n">
        <v>1501</v>
      </c>
      <c r="E168" s="24">
        <f>INDEX(Assumptions!$E$4:$E$8,MATCH($C168,Assumptions!$D$4:$D$8,0))*(1+Assumptions!$B$10)^((YEAR($A168)-2024))*(1-Assumptions!$B$12)</f>
        <v/>
      </c>
      <c r="F168" s="24">
        <f>D168*E168</f>
        <v/>
      </c>
    </row>
    <row r="169" ht="15" customHeight="1" s="20">
      <c r="A169" s="22" t="n">
        <v>45627</v>
      </c>
      <c r="B169" s="23" t="inlineStr">
        <is>
          <t>华东</t>
        </is>
      </c>
      <c r="C169" s="19" t="inlineStr">
        <is>
          <t>Gamma</t>
        </is>
      </c>
      <c r="D169" s="24" t="n">
        <v>1617</v>
      </c>
      <c r="E169" s="24">
        <f>INDEX(Assumptions!$E$4:$E$8,MATCH($C169,Assumptions!$D$4:$D$8,0))*(1+Assumptions!$B$10)^((YEAR($A169)-2024))*(1-Assumptions!$B$12)</f>
        <v/>
      </c>
      <c r="F169" s="24">
        <f>D169*E169</f>
        <v/>
      </c>
    </row>
    <row r="170" ht="15" customHeight="1" s="20">
      <c r="A170" s="22" t="n">
        <v>45627</v>
      </c>
      <c r="B170" s="23" t="inlineStr">
        <is>
          <t>华东</t>
        </is>
      </c>
      <c r="C170" s="19" t="inlineStr">
        <is>
          <t>Delta</t>
        </is>
      </c>
      <c r="D170" s="24" t="n">
        <v>1159</v>
      </c>
      <c r="E170" s="24">
        <f>INDEX(Assumptions!$E$4:$E$8,MATCH($C170,Assumptions!$D$4:$D$8,0))*(1+Assumptions!$B$10)^((YEAR($A170)-2024))*(1-Assumptions!$B$12)</f>
        <v/>
      </c>
      <c r="F170" s="24">
        <f>D170*E170</f>
        <v/>
      </c>
    </row>
    <row r="171" ht="15" customHeight="1" s="20">
      <c r="A171" s="22" t="n">
        <v>45627</v>
      </c>
      <c r="B171" s="23" t="inlineStr">
        <is>
          <t>华东</t>
        </is>
      </c>
      <c r="C171" s="19" t="inlineStr">
        <is>
          <t>Epsilon</t>
        </is>
      </c>
      <c r="D171" s="24" t="n">
        <v>886</v>
      </c>
      <c r="E171" s="24">
        <f>INDEX(Assumptions!$E$4:$E$8,MATCH($C171,Assumptions!$D$4:$D$8,0))*(1+Assumptions!$B$10)^((YEAR($A171)-2024))*(1-Assumptions!$B$12)</f>
        <v/>
      </c>
      <c r="F171" s="24">
        <f>D171*E171</f>
        <v/>
      </c>
    </row>
    <row r="172" ht="15" customHeight="1" s="20">
      <c r="A172" s="22" t="n">
        <v>45627</v>
      </c>
      <c r="B172" s="23" t="inlineStr">
        <is>
          <t>华南</t>
        </is>
      </c>
      <c r="C172" s="19" t="inlineStr">
        <is>
          <t>Alpha</t>
        </is>
      </c>
      <c r="D172" s="24" t="n">
        <v>1780</v>
      </c>
      <c r="E172" s="24">
        <f>INDEX(Assumptions!$E$4:$E$8,MATCH($C172,Assumptions!$D$4:$D$8,0))*(1+Assumptions!$B$10)^((YEAR($A172)-2024))*(1-Assumptions!$B$12)</f>
        <v/>
      </c>
      <c r="F172" s="24">
        <f>D172*E172</f>
        <v/>
      </c>
    </row>
    <row r="173" ht="15" customHeight="1" s="20">
      <c r="A173" s="22" t="n">
        <v>45627</v>
      </c>
      <c r="B173" s="23" t="inlineStr">
        <is>
          <t>华南</t>
        </is>
      </c>
      <c r="C173" s="19" t="inlineStr">
        <is>
          <t>Beta</t>
        </is>
      </c>
      <c r="D173" s="24" t="n">
        <v>1447</v>
      </c>
      <c r="E173" s="24">
        <f>INDEX(Assumptions!$E$4:$E$8,MATCH($C173,Assumptions!$D$4:$D$8,0))*(1+Assumptions!$B$10)^((YEAR($A173)-2024))*(1-Assumptions!$B$12)</f>
        <v/>
      </c>
      <c r="F173" s="24">
        <f>D173*E173</f>
        <v/>
      </c>
    </row>
    <row r="174" ht="15" customHeight="1" s="20">
      <c r="A174" s="22" t="n">
        <v>45627</v>
      </c>
      <c r="B174" s="23" t="inlineStr">
        <is>
          <t>华南</t>
        </is>
      </c>
      <c r="C174" s="19" t="inlineStr">
        <is>
          <t>Gamma</t>
        </is>
      </c>
      <c r="D174" s="24" t="n">
        <v>1327</v>
      </c>
      <c r="E174" s="24">
        <f>INDEX(Assumptions!$E$4:$E$8,MATCH($C174,Assumptions!$D$4:$D$8,0))*(1+Assumptions!$B$10)^((YEAR($A174)-2024))*(1-Assumptions!$B$12)</f>
        <v/>
      </c>
      <c r="F174" s="24">
        <f>D174*E174</f>
        <v/>
      </c>
    </row>
    <row r="175" ht="15" customHeight="1" s="20">
      <c r="A175" s="22" t="n">
        <v>45627</v>
      </c>
      <c r="B175" s="23" t="inlineStr">
        <is>
          <t>华南</t>
        </is>
      </c>
      <c r="C175" s="19" t="inlineStr">
        <is>
          <t>Delta</t>
        </is>
      </c>
      <c r="D175" s="24" t="n">
        <v>1196</v>
      </c>
      <c r="E175" s="24">
        <f>INDEX(Assumptions!$E$4:$E$8,MATCH($C175,Assumptions!$D$4:$D$8,0))*(1+Assumptions!$B$10)^((YEAR($A175)-2024))*(1-Assumptions!$B$12)</f>
        <v/>
      </c>
      <c r="F175" s="24">
        <f>D175*E175</f>
        <v/>
      </c>
    </row>
    <row r="176" ht="15" customHeight="1" s="20">
      <c r="A176" s="22" t="n">
        <v>45627</v>
      </c>
      <c r="B176" s="23" t="inlineStr">
        <is>
          <t>华南</t>
        </is>
      </c>
      <c r="C176" s="19" t="inlineStr">
        <is>
          <t>Epsilon</t>
        </is>
      </c>
      <c r="D176" s="24" t="n">
        <v>946</v>
      </c>
      <c r="E176" s="24">
        <f>INDEX(Assumptions!$E$4:$E$8,MATCH($C176,Assumptions!$D$4:$D$8,0))*(1+Assumptions!$B$10)^((YEAR($A176)-2024))*(1-Assumptions!$B$12)</f>
        <v/>
      </c>
      <c r="F176" s="24">
        <f>D176*E176</f>
        <v/>
      </c>
    </row>
    <row r="177" ht="15" customHeight="1" s="20">
      <c r="A177" s="22" t="n">
        <v>45627</v>
      </c>
      <c r="B177" s="23" t="inlineStr">
        <is>
          <t>华北</t>
        </is>
      </c>
      <c r="C177" s="19" t="inlineStr">
        <is>
          <t>Alpha</t>
        </is>
      </c>
      <c r="D177" s="24" t="n">
        <v>1285</v>
      </c>
      <c r="E177" s="24">
        <f>INDEX(Assumptions!$E$4:$E$8,MATCH($C177,Assumptions!$D$4:$D$8,0))*(1+Assumptions!$B$10)^((YEAR($A177)-2024))*(1-Assumptions!$B$12)</f>
        <v/>
      </c>
      <c r="F177" s="24">
        <f>D177*E177</f>
        <v/>
      </c>
    </row>
    <row r="178" ht="15" customHeight="1" s="20">
      <c r="A178" s="22" t="n">
        <v>45627</v>
      </c>
      <c r="B178" s="23" t="inlineStr">
        <is>
          <t>华北</t>
        </is>
      </c>
      <c r="C178" s="19" t="inlineStr">
        <is>
          <t>Beta</t>
        </is>
      </c>
      <c r="D178" s="24" t="n">
        <v>1121</v>
      </c>
      <c r="E178" s="24">
        <f>INDEX(Assumptions!$E$4:$E$8,MATCH($C178,Assumptions!$D$4:$D$8,0))*(1+Assumptions!$B$10)^((YEAR($A178)-2024))*(1-Assumptions!$B$12)</f>
        <v/>
      </c>
      <c r="F178" s="24">
        <f>D178*E178</f>
        <v/>
      </c>
    </row>
    <row r="179" ht="15" customHeight="1" s="20">
      <c r="A179" s="22" t="n">
        <v>45627</v>
      </c>
      <c r="B179" s="23" t="inlineStr">
        <is>
          <t>华北</t>
        </is>
      </c>
      <c r="C179" s="19" t="inlineStr">
        <is>
          <t>Gamma</t>
        </is>
      </c>
      <c r="D179" s="24" t="n">
        <v>1179</v>
      </c>
      <c r="E179" s="24">
        <f>INDEX(Assumptions!$E$4:$E$8,MATCH($C179,Assumptions!$D$4:$D$8,0))*(1+Assumptions!$B$10)^((YEAR($A179)-2024))*(1-Assumptions!$B$12)</f>
        <v/>
      </c>
      <c r="F179" s="24">
        <f>D179*E179</f>
        <v/>
      </c>
    </row>
    <row r="180" ht="15" customHeight="1" s="20">
      <c r="A180" s="22" t="n">
        <v>45627</v>
      </c>
      <c r="B180" s="23" t="inlineStr">
        <is>
          <t>华北</t>
        </is>
      </c>
      <c r="C180" s="19" t="inlineStr">
        <is>
          <t>Delta</t>
        </is>
      </c>
      <c r="D180" s="24" t="n">
        <v>969</v>
      </c>
      <c r="E180" s="24">
        <f>INDEX(Assumptions!$E$4:$E$8,MATCH($C180,Assumptions!$D$4:$D$8,0))*(1+Assumptions!$B$10)^((YEAR($A180)-2024))*(1-Assumptions!$B$12)</f>
        <v/>
      </c>
      <c r="F180" s="24">
        <f>D180*E180</f>
        <v/>
      </c>
    </row>
    <row r="181" ht="15" customHeight="1" s="20">
      <c r="A181" s="22" t="n">
        <v>45627</v>
      </c>
      <c r="B181" s="23" t="inlineStr">
        <is>
          <t>华北</t>
        </is>
      </c>
      <c r="C181" s="19" t="inlineStr">
        <is>
          <t>Epsilon</t>
        </is>
      </c>
      <c r="D181" s="24" t="n">
        <v>771</v>
      </c>
      <c r="E181" s="24">
        <f>INDEX(Assumptions!$E$4:$E$8,MATCH($C181,Assumptions!$D$4:$D$8,0))*(1+Assumptions!$B$10)^((YEAR($A181)-2024))*(1-Assumptions!$B$12)</f>
        <v/>
      </c>
      <c r="F181" s="24">
        <f>D181*E181</f>
        <v/>
      </c>
    </row>
    <row r="182" ht="15" customHeight="1" s="20">
      <c r="A182" s="22" t="n">
        <v>45658</v>
      </c>
      <c r="B182" s="23" t="inlineStr">
        <is>
          <t>华东</t>
        </is>
      </c>
      <c r="C182" s="19" t="inlineStr">
        <is>
          <t>Alpha</t>
        </is>
      </c>
      <c r="D182" s="24" t="n">
        <v>2212</v>
      </c>
      <c r="E182" s="24">
        <f>INDEX(Assumptions!$E$4:$E$8,MATCH($C182,Assumptions!$D$4:$D$8,0))*(1+Assumptions!$B$10)^((YEAR($A182)-2024))*(1-Assumptions!$B$12)</f>
        <v/>
      </c>
      <c r="F182" s="24">
        <f>D182*E182</f>
        <v/>
      </c>
    </row>
    <row r="183" ht="15" customHeight="1" s="20">
      <c r="A183" s="22" t="n">
        <v>45658</v>
      </c>
      <c r="B183" s="23" t="inlineStr">
        <is>
          <t>华东</t>
        </is>
      </c>
      <c r="C183" s="19" t="inlineStr">
        <is>
          <t>Beta</t>
        </is>
      </c>
      <c r="D183" s="24" t="n">
        <v>1959</v>
      </c>
      <c r="E183" s="24">
        <f>INDEX(Assumptions!$E$4:$E$8,MATCH($C183,Assumptions!$D$4:$D$8,0))*(1+Assumptions!$B$10)^((YEAR($A183)-2024))*(1-Assumptions!$B$12)</f>
        <v/>
      </c>
      <c r="F183" s="24">
        <f>D183*E183</f>
        <v/>
      </c>
    </row>
    <row r="184" ht="15" customHeight="1" s="20">
      <c r="A184" s="22" t="n">
        <v>45658</v>
      </c>
      <c r="B184" s="23" t="inlineStr">
        <is>
          <t>华东</t>
        </is>
      </c>
      <c r="C184" s="19" t="inlineStr">
        <is>
          <t>Gamma</t>
        </is>
      </c>
      <c r="D184" s="24" t="n">
        <v>2015</v>
      </c>
      <c r="E184" s="24">
        <f>INDEX(Assumptions!$E$4:$E$8,MATCH($C184,Assumptions!$D$4:$D$8,0))*(1+Assumptions!$B$10)^((YEAR($A184)-2024))*(1-Assumptions!$B$12)</f>
        <v/>
      </c>
      <c r="F184" s="24">
        <f>D184*E184</f>
        <v/>
      </c>
    </row>
    <row r="185" ht="15" customHeight="1" s="20">
      <c r="A185" s="22" t="n">
        <v>45658</v>
      </c>
      <c r="B185" s="23" t="inlineStr">
        <is>
          <t>华东</t>
        </is>
      </c>
      <c r="C185" s="19" t="inlineStr">
        <is>
          <t>Delta</t>
        </is>
      </c>
      <c r="D185" s="24" t="n">
        <v>1274</v>
      </c>
      <c r="E185" s="24">
        <f>INDEX(Assumptions!$E$4:$E$8,MATCH($C185,Assumptions!$D$4:$D$8,0))*(1+Assumptions!$B$10)^((YEAR($A185)-2024))*(1-Assumptions!$B$12)</f>
        <v/>
      </c>
      <c r="F185" s="24">
        <f>D185*E185</f>
        <v/>
      </c>
    </row>
    <row r="186" ht="15" customHeight="1" s="20">
      <c r="A186" s="22" t="n">
        <v>45658</v>
      </c>
      <c r="B186" s="23" t="inlineStr">
        <is>
          <t>华东</t>
        </is>
      </c>
      <c r="C186" s="19" t="inlineStr">
        <is>
          <t>Epsilon</t>
        </is>
      </c>
      <c r="D186" s="24" t="n">
        <v>1105</v>
      </c>
      <c r="E186" s="24">
        <f>INDEX(Assumptions!$E$4:$E$8,MATCH($C186,Assumptions!$D$4:$D$8,0))*(1+Assumptions!$B$10)^((YEAR($A186)-2024))*(1-Assumptions!$B$12)</f>
        <v/>
      </c>
      <c r="F186" s="24">
        <f>D186*E186</f>
        <v/>
      </c>
    </row>
    <row r="187" ht="15" customHeight="1" s="20">
      <c r="A187" s="22" t="n">
        <v>45658</v>
      </c>
      <c r="B187" s="23" t="inlineStr">
        <is>
          <t>华南</t>
        </is>
      </c>
      <c r="C187" s="19" t="inlineStr">
        <is>
          <t>Alpha</t>
        </is>
      </c>
      <c r="D187" s="24" t="n">
        <v>1713</v>
      </c>
      <c r="E187" s="24">
        <f>INDEX(Assumptions!$E$4:$E$8,MATCH($C187,Assumptions!$D$4:$D$8,0))*(1+Assumptions!$B$10)^((YEAR($A187)-2024))*(1-Assumptions!$B$12)</f>
        <v/>
      </c>
      <c r="F187" s="24">
        <f>D187*E187</f>
        <v/>
      </c>
    </row>
    <row r="188" ht="15" customHeight="1" s="20">
      <c r="A188" s="22" t="n">
        <v>45658</v>
      </c>
      <c r="B188" s="23" t="inlineStr">
        <is>
          <t>华南</t>
        </is>
      </c>
      <c r="C188" s="19" t="inlineStr">
        <is>
          <t>Beta</t>
        </is>
      </c>
      <c r="D188" s="24" t="n">
        <v>1795</v>
      </c>
      <c r="E188" s="24">
        <f>INDEX(Assumptions!$E$4:$E$8,MATCH($C188,Assumptions!$D$4:$D$8,0))*(1+Assumptions!$B$10)^((YEAR($A188)-2024))*(1-Assumptions!$B$12)</f>
        <v/>
      </c>
      <c r="F188" s="24">
        <f>D188*E188</f>
        <v/>
      </c>
    </row>
    <row r="189" ht="15" customHeight="1" s="20">
      <c r="A189" s="22" t="n">
        <v>45658</v>
      </c>
      <c r="B189" s="23" t="inlineStr">
        <is>
          <t>华南</t>
        </is>
      </c>
      <c r="C189" s="19" t="inlineStr">
        <is>
          <t>Gamma</t>
        </is>
      </c>
      <c r="D189" s="24" t="n">
        <v>1414</v>
      </c>
      <c r="E189" s="24">
        <f>INDEX(Assumptions!$E$4:$E$8,MATCH($C189,Assumptions!$D$4:$D$8,0))*(1+Assumptions!$B$10)^((YEAR($A189)-2024))*(1-Assumptions!$B$12)</f>
        <v/>
      </c>
      <c r="F189" s="24">
        <f>D189*E189</f>
        <v/>
      </c>
    </row>
    <row r="190" ht="15" customHeight="1" s="20">
      <c r="A190" s="22" t="n">
        <v>45658</v>
      </c>
      <c r="B190" s="23" t="inlineStr">
        <is>
          <t>华南</t>
        </is>
      </c>
      <c r="C190" s="19" t="inlineStr">
        <is>
          <t>Delta</t>
        </is>
      </c>
      <c r="D190" s="24" t="n">
        <v>1142</v>
      </c>
      <c r="E190" s="24">
        <f>INDEX(Assumptions!$E$4:$E$8,MATCH($C190,Assumptions!$D$4:$D$8,0))*(1+Assumptions!$B$10)^((YEAR($A190)-2024))*(1-Assumptions!$B$12)</f>
        <v/>
      </c>
      <c r="F190" s="24">
        <f>D190*E190</f>
        <v/>
      </c>
    </row>
    <row r="191" ht="15" customHeight="1" s="20">
      <c r="A191" s="22" t="n">
        <v>45658</v>
      </c>
      <c r="B191" s="23" t="inlineStr">
        <is>
          <t>华南</t>
        </is>
      </c>
      <c r="C191" s="19" t="inlineStr">
        <is>
          <t>Epsilon</t>
        </is>
      </c>
      <c r="D191" s="24" t="n">
        <v>974</v>
      </c>
      <c r="E191" s="24">
        <f>INDEX(Assumptions!$E$4:$E$8,MATCH($C191,Assumptions!$D$4:$D$8,0))*(1+Assumptions!$B$10)^((YEAR($A191)-2024))*(1-Assumptions!$B$12)</f>
        <v/>
      </c>
      <c r="F191" s="24">
        <f>D191*E191</f>
        <v/>
      </c>
    </row>
    <row r="192" ht="15" customHeight="1" s="20">
      <c r="A192" s="22" t="n">
        <v>45658</v>
      </c>
      <c r="B192" s="23" t="inlineStr">
        <is>
          <t>华北</t>
        </is>
      </c>
      <c r="C192" s="19" t="inlineStr">
        <is>
          <t>Alpha</t>
        </is>
      </c>
      <c r="D192" s="24" t="n">
        <v>1582</v>
      </c>
      <c r="E192" s="24">
        <f>INDEX(Assumptions!$E$4:$E$8,MATCH($C192,Assumptions!$D$4:$D$8,0))*(1+Assumptions!$B$10)^((YEAR($A192)-2024))*(1-Assumptions!$B$12)</f>
        <v/>
      </c>
      <c r="F192" s="24">
        <f>D192*E192</f>
        <v/>
      </c>
    </row>
    <row r="193" ht="15" customHeight="1" s="20">
      <c r="A193" s="22" t="n">
        <v>45658</v>
      </c>
      <c r="B193" s="23" t="inlineStr">
        <is>
          <t>华北</t>
        </is>
      </c>
      <c r="C193" s="19" t="inlineStr">
        <is>
          <t>Beta</t>
        </is>
      </c>
      <c r="D193" s="24" t="n">
        <v>1361</v>
      </c>
      <c r="E193" s="24">
        <f>INDEX(Assumptions!$E$4:$E$8,MATCH($C193,Assumptions!$D$4:$D$8,0))*(1+Assumptions!$B$10)^((YEAR($A193)-2024))*(1-Assumptions!$B$12)</f>
        <v/>
      </c>
      <c r="F193" s="24">
        <f>D193*E193</f>
        <v/>
      </c>
    </row>
    <row r="194" ht="15" customHeight="1" s="20">
      <c r="A194" s="22" t="n">
        <v>45658</v>
      </c>
      <c r="B194" s="23" t="inlineStr">
        <is>
          <t>华北</t>
        </is>
      </c>
      <c r="C194" s="19" t="inlineStr">
        <is>
          <t>Gamma</t>
        </is>
      </c>
      <c r="D194" s="24" t="n">
        <v>1273</v>
      </c>
      <c r="E194" s="24">
        <f>INDEX(Assumptions!$E$4:$E$8,MATCH($C194,Assumptions!$D$4:$D$8,0))*(1+Assumptions!$B$10)^((YEAR($A194)-2024))*(1-Assumptions!$B$12)</f>
        <v/>
      </c>
      <c r="F194" s="24">
        <f>D194*E194</f>
        <v/>
      </c>
    </row>
    <row r="195" ht="15" customHeight="1" s="20">
      <c r="A195" s="22" t="n">
        <v>45658</v>
      </c>
      <c r="B195" s="23" t="inlineStr">
        <is>
          <t>华北</t>
        </is>
      </c>
      <c r="C195" s="19" t="inlineStr">
        <is>
          <t>Delta</t>
        </is>
      </c>
      <c r="D195" s="24" t="n">
        <v>1277</v>
      </c>
      <c r="E195" s="24">
        <f>INDEX(Assumptions!$E$4:$E$8,MATCH($C195,Assumptions!$D$4:$D$8,0))*(1+Assumptions!$B$10)^((YEAR($A195)-2024))*(1-Assumptions!$B$12)</f>
        <v/>
      </c>
      <c r="F195" s="24">
        <f>D195*E195</f>
        <v/>
      </c>
    </row>
    <row r="196" ht="15" customHeight="1" s="20">
      <c r="A196" s="22" t="n">
        <v>45658</v>
      </c>
      <c r="B196" s="23" t="inlineStr">
        <is>
          <t>华北</t>
        </is>
      </c>
      <c r="C196" s="19" t="inlineStr">
        <is>
          <t>Epsilon</t>
        </is>
      </c>
      <c r="D196" s="24" t="n">
        <v>875</v>
      </c>
      <c r="E196" s="24">
        <f>INDEX(Assumptions!$E$4:$E$8,MATCH($C196,Assumptions!$D$4:$D$8,0))*(1+Assumptions!$B$10)^((YEAR($A196)-2024))*(1-Assumptions!$B$12)</f>
        <v/>
      </c>
      <c r="F196" s="24">
        <f>D196*E196</f>
        <v/>
      </c>
    </row>
    <row r="197" ht="15" customHeight="1" s="20">
      <c r="A197" s="22" t="n">
        <v>45689</v>
      </c>
      <c r="B197" s="23" t="inlineStr">
        <is>
          <t>华东</t>
        </is>
      </c>
      <c r="C197" s="19" t="inlineStr">
        <is>
          <t>Alpha</t>
        </is>
      </c>
      <c r="D197" s="24" t="n">
        <v>2581</v>
      </c>
      <c r="E197" s="24">
        <f>INDEX(Assumptions!$E$4:$E$8,MATCH($C197,Assumptions!$D$4:$D$8,0))*(1+Assumptions!$B$10)^((YEAR($A197)-2024))*(1-Assumptions!$B$12)</f>
        <v/>
      </c>
      <c r="F197" s="24">
        <f>D197*E197</f>
        <v/>
      </c>
    </row>
    <row r="198" ht="15" customHeight="1" s="20">
      <c r="A198" s="22" t="n">
        <v>45689</v>
      </c>
      <c r="B198" s="23" t="inlineStr">
        <is>
          <t>华东</t>
        </is>
      </c>
      <c r="C198" s="19" t="inlineStr">
        <is>
          <t>Beta</t>
        </is>
      </c>
      <c r="D198" s="24" t="n">
        <v>2127</v>
      </c>
      <c r="E198" s="24">
        <f>INDEX(Assumptions!$E$4:$E$8,MATCH($C198,Assumptions!$D$4:$D$8,0))*(1+Assumptions!$B$10)^((YEAR($A198)-2024))*(1-Assumptions!$B$12)</f>
        <v/>
      </c>
      <c r="F198" s="24">
        <f>D198*E198</f>
        <v/>
      </c>
    </row>
    <row r="199" ht="15" customHeight="1" s="20">
      <c r="A199" s="22" t="n">
        <v>45689</v>
      </c>
      <c r="B199" s="23" t="inlineStr">
        <is>
          <t>华东</t>
        </is>
      </c>
      <c r="C199" s="19" t="inlineStr">
        <is>
          <t>Gamma</t>
        </is>
      </c>
      <c r="D199" s="24" t="n">
        <v>1712</v>
      </c>
      <c r="E199" s="24">
        <f>INDEX(Assumptions!$E$4:$E$8,MATCH($C199,Assumptions!$D$4:$D$8,0))*(1+Assumptions!$B$10)^((YEAR($A199)-2024))*(1-Assumptions!$B$12)</f>
        <v/>
      </c>
      <c r="F199" s="24">
        <f>D199*E199</f>
        <v/>
      </c>
    </row>
    <row r="200" ht="15" customHeight="1" s="20">
      <c r="A200" s="22" t="n">
        <v>45689</v>
      </c>
      <c r="B200" s="23" t="inlineStr">
        <is>
          <t>华东</t>
        </is>
      </c>
      <c r="C200" s="19" t="inlineStr">
        <is>
          <t>Delta</t>
        </is>
      </c>
      <c r="D200" s="24" t="n">
        <v>1874</v>
      </c>
      <c r="E200" s="24">
        <f>INDEX(Assumptions!$E$4:$E$8,MATCH($C200,Assumptions!$D$4:$D$8,0))*(1+Assumptions!$B$10)^((YEAR($A200)-2024))*(1-Assumptions!$B$12)</f>
        <v/>
      </c>
      <c r="F200" s="24">
        <f>D200*E200</f>
        <v/>
      </c>
    </row>
    <row r="201" ht="15" customHeight="1" s="20">
      <c r="A201" s="22" t="n">
        <v>45689</v>
      </c>
      <c r="B201" s="23" t="inlineStr">
        <is>
          <t>华东</t>
        </is>
      </c>
      <c r="C201" s="19" t="inlineStr">
        <is>
          <t>Epsilon</t>
        </is>
      </c>
      <c r="D201" s="24" t="n">
        <v>1409</v>
      </c>
      <c r="E201" s="24">
        <f>INDEX(Assumptions!$E$4:$E$8,MATCH($C201,Assumptions!$D$4:$D$8,0))*(1+Assumptions!$B$10)^((YEAR($A201)-2024))*(1-Assumptions!$B$12)</f>
        <v/>
      </c>
      <c r="F201" s="24">
        <f>D201*E201</f>
        <v/>
      </c>
    </row>
    <row r="202" ht="15" customHeight="1" s="20">
      <c r="A202" s="22" t="n">
        <v>45689</v>
      </c>
      <c r="B202" s="23" t="inlineStr">
        <is>
          <t>华南</t>
        </is>
      </c>
      <c r="C202" s="19" t="inlineStr">
        <is>
          <t>Alpha</t>
        </is>
      </c>
      <c r="D202" s="24" t="n">
        <v>2309</v>
      </c>
      <c r="E202" s="24">
        <f>INDEX(Assumptions!$E$4:$E$8,MATCH($C202,Assumptions!$D$4:$D$8,0))*(1+Assumptions!$B$10)^((YEAR($A202)-2024))*(1-Assumptions!$B$12)</f>
        <v/>
      </c>
      <c r="F202" s="24">
        <f>D202*E202</f>
        <v/>
      </c>
    </row>
    <row r="203" ht="15" customHeight="1" s="20">
      <c r="A203" s="22" t="n">
        <v>45689</v>
      </c>
      <c r="B203" s="23" t="inlineStr">
        <is>
          <t>华南</t>
        </is>
      </c>
      <c r="C203" s="19" t="inlineStr">
        <is>
          <t>Beta</t>
        </is>
      </c>
      <c r="D203" s="24" t="n">
        <v>2055</v>
      </c>
      <c r="E203" s="24">
        <f>INDEX(Assumptions!$E$4:$E$8,MATCH($C203,Assumptions!$D$4:$D$8,0))*(1+Assumptions!$B$10)^((YEAR($A203)-2024))*(1-Assumptions!$B$12)</f>
        <v/>
      </c>
      <c r="F203" s="24">
        <f>D203*E203</f>
        <v/>
      </c>
    </row>
    <row r="204" ht="15" customHeight="1" s="20">
      <c r="A204" s="22" t="n">
        <v>45689</v>
      </c>
      <c r="B204" s="23" t="inlineStr">
        <is>
          <t>华南</t>
        </is>
      </c>
      <c r="C204" s="19" t="inlineStr">
        <is>
          <t>Gamma</t>
        </is>
      </c>
      <c r="D204" s="24" t="n">
        <v>1901</v>
      </c>
      <c r="E204" s="24">
        <f>INDEX(Assumptions!$E$4:$E$8,MATCH($C204,Assumptions!$D$4:$D$8,0))*(1+Assumptions!$B$10)^((YEAR($A204)-2024))*(1-Assumptions!$B$12)</f>
        <v/>
      </c>
      <c r="F204" s="24">
        <f>D204*E204</f>
        <v/>
      </c>
    </row>
    <row r="205" ht="15" customHeight="1" s="20">
      <c r="A205" s="22" t="n">
        <v>45689</v>
      </c>
      <c r="B205" s="23" t="inlineStr">
        <is>
          <t>华南</t>
        </is>
      </c>
      <c r="C205" s="19" t="inlineStr">
        <is>
          <t>Delta</t>
        </is>
      </c>
      <c r="D205" s="24" t="n">
        <v>1275</v>
      </c>
      <c r="E205" s="24">
        <f>INDEX(Assumptions!$E$4:$E$8,MATCH($C205,Assumptions!$D$4:$D$8,0))*(1+Assumptions!$B$10)^((YEAR($A205)-2024))*(1-Assumptions!$B$12)</f>
        <v/>
      </c>
      <c r="F205" s="24">
        <f>D205*E205</f>
        <v/>
      </c>
    </row>
    <row r="206" ht="15" customHeight="1" s="20">
      <c r="A206" s="22" t="n">
        <v>45689</v>
      </c>
      <c r="B206" s="23" t="inlineStr">
        <is>
          <t>华南</t>
        </is>
      </c>
      <c r="C206" s="19" t="inlineStr">
        <is>
          <t>Epsilon</t>
        </is>
      </c>
      <c r="D206" s="24" t="n">
        <v>1108</v>
      </c>
      <c r="E206" s="24">
        <f>INDEX(Assumptions!$E$4:$E$8,MATCH($C206,Assumptions!$D$4:$D$8,0))*(1+Assumptions!$B$10)^((YEAR($A206)-2024))*(1-Assumptions!$B$12)</f>
        <v/>
      </c>
      <c r="F206" s="24">
        <f>D206*E206</f>
        <v/>
      </c>
    </row>
    <row r="207" ht="15" customHeight="1" s="20">
      <c r="A207" s="22" t="n">
        <v>45689</v>
      </c>
      <c r="B207" s="23" t="inlineStr">
        <is>
          <t>华北</t>
        </is>
      </c>
      <c r="C207" s="19" t="inlineStr">
        <is>
          <t>Alpha</t>
        </is>
      </c>
      <c r="D207" s="24" t="n">
        <v>1665</v>
      </c>
      <c r="E207" s="24">
        <f>INDEX(Assumptions!$E$4:$E$8,MATCH($C207,Assumptions!$D$4:$D$8,0))*(1+Assumptions!$B$10)^((YEAR($A207)-2024))*(1-Assumptions!$B$12)</f>
        <v/>
      </c>
      <c r="F207" s="24">
        <f>D207*E207</f>
        <v/>
      </c>
    </row>
    <row r="208" ht="15" customHeight="1" s="20">
      <c r="A208" s="22" t="n">
        <v>45689</v>
      </c>
      <c r="B208" s="23" t="inlineStr">
        <is>
          <t>华北</t>
        </is>
      </c>
      <c r="C208" s="19" t="inlineStr">
        <is>
          <t>Beta</t>
        </is>
      </c>
      <c r="D208" s="24" t="n">
        <v>1591</v>
      </c>
      <c r="E208" s="24">
        <f>INDEX(Assumptions!$E$4:$E$8,MATCH($C208,Assumptions!$D$4:$D$8,0))*(1+Assumptions!$B$10)^((YEAR($A208)-2024))*(1-Assumptions!$B$12)</f>
        <v/>
      </c>
      <c r="F208" s="24">
        <f>D208*E208</f>
        <v/>
      </c>
    </row>
    <row r="209" ht="15" customHeight="1" s="20">
      <c r="A209" s="22" t="n">
        <v>45689</v>
      </c>
      <c r="B209" s="23" t="inlineStr">
        <is>
          <t>华北</t>
        </is>
      </c>
      <c r="C209" s="19" t="inlineStr">
        <is>
          <t>Gamma</t>
        </is>
      </c>
      <c r="D209" s="24" t="n">
        <v>1344</v>
      </c>
      <c r="E209" s="24">
        <f>INDEX(Assumptions!$E$4:$E$8,MATCH($C209,Assumptions!$D$4:$D$8,0))*(1+Assumptions!$B$10)^((YEAR($A209)-2024))*(1-Assumptions!$B$12)</f>
        <v/>
      </c>
      <c r="F209" s="24">
        <f>D209*E209</f>
        <v/>
      </c>
    </row>
    <row r="210" ht="15" customHeight="1" s="20">
      <c r="A210" s="22" t="n">
        <v>45689</v>
      </c>
      <c r="B210" s="23" t="inlineStr">
        <is>
          <t>华北</t>
        </is>
      </c>
      <c r="C210" s="19" t="inlineStr">
        <is>
          <t>Delta</t>
        </is>
      </c>
      <c r="D210" s="24" t="n">
        <v>1229</v>
      </c>
      <c r="E210" s="24">
        <f>INDEX(Assumptions!$E$4:$E$8,MATCH($C210,Assumptions!$D$4:$D$8,0))*(1+Assumptions!$B$10)^((YEAR($A210)-2024))*(1-Assumptions!$B$12)</f>
        <v/>
      </c>
      <c r="F210" s="24">
        <f>D210*E210</f>
        <v/>
      </c>
    </row>
    <row r="211" ht="15" customHeight="1" s="20">
      <c r="A211" s="22" t="n">
        <v>45689</v>
      </c>
      <c r="B211" s="23" t="inlineStr">
        <is>
          <t>华北</t>
        </is>
      </c>
      <c r="C211" s="19" t="inlineStr">
        <is>
          <t>Epsilon</t>
        </is>
      </c>
      <c r="D211" s="24" t="n">
        <v>1148</v>
      </c>
      <c r="E211" s="24">
        <f>INDEX(Assumptions!$E$4:$E$8,MATCH($C211,Assumptions!$D$4:$D$8,0))*(1+Assumptions!$B$10)^((YEAR($A211)-2024))*(1-Assumptions!$B$12)</f>
        <v/>
      </c>
      <c r="F211" s="24">
        <f>D211*E211</f>
        <v/>
      </c>
    </row>
    <row r="212" ht="15" customHeight="1" s="20">
      <c r="A212" s="22" t="n">
        <v>45717</v>
      </c>
      <c r="B212" s="23" t="inlineStr">
        <is>
          <t>华东</t>
        </is>
      </c>
      <c r="C212" s="19" t="inlineStr">
        <is>
          <t>Alpha</t>
        </is>
      </c>
      <c r="D212" s="24" t="n">
        <v>2340</v>
      </c>
      <c r="E212" s="24">
        <f>INDEX(Assumptions!$E$4:$E$8,MATCH($C212,Assumptions!$D$4:$D$8,0))*(1+Assumptions!$B$10)^((YEAR($A212)-2024))*(1-Assumptions!$B$12)</f>
        <v/>
      </c>
      <c r="F212" s="24">
        <f>D212*E212</f>
        <v/>
      </c>
    </row>
    <row r="213" ht="15" customHeight="1" s="20">
      <c r="A213" s="22" t="n">
        <v>45717</v>
      </c>
      <c r="B213" s="23" t="inlineStr">
        <is>
          <t>华东</t>
        </is>
      </c>
      <c r="C213" s="19" t="inlineStr">
        <is>
          <t>Beta</t>
        </is>
      </c>
      <c r="D213" s="24" t="n">
        <v>2459</v>
      </c>
      <c r="E213" s="24">
        <f>INDEX(Assumptions!$E$4:$E$8,MATCH($C213,Assumptions!$D$4:$D$8,0))*(1+Assumptions!$B$10)^((YEAR($A213)-2024))*(1-Assumptions!$B$12)</f>
        <v/>
      </c>
      <c r="F213" s="24">
        <f>D213*E213</f>
        <v/>
      </c>
    </row>
    <row r="214" ht="15" customHeight="1" s="20">
      <c r="A214" s="22" t="n">
        <v>45717</v>
      </c>
      <c r="B214" s="23" t="inlineStr">
        <is>
          <t>华东</t>
        </is>
      </c>
      <c r="C214" s="19" t="inlineStr">
        <is>
          <t>Gamma</t>
        </is>
      </c>
      <c r="D214" s="24" t="n">
        <v>2111</v>
      </c>
      <c r="E214" s="24">
        <f>INDEX(Assumptions!$E$4:$E$8,MATCH($C214,Assumptions!$D$4:$D$8,0))*(1+Assumptions!$B$10)^((YEAR($A214)-2024))*(1-Assumptions!$B$12)</f>
        <v/>
      </c>
      <c r="F214" s="24">
        <f>D214*E214</f>
        <v/>
      </c>
    </row>
    <row r="215" ht="15" customHeight="1" s="20">
      <c r="A215" s="22" t="n">
        <v>45717</v>
      </c>
      <c r="B215" s="23" t="inlineStr">
        <is>
          <t>华东</t>
        </is>
      </c>
      <c r="C215" s="19" t="inlineStr">
        <is>
          <t>Delta</t>
        </is>
      </c>
      <c r="D215" s="24" t="n">
        <v>1722</v>
      </c>
      <c r="E215" s="24">
        <f>INDEX(Assumptions!$E$4:$E$8,MATCH($C215,Assumptions!$D$4:$D$8,0))*(1+Assumptions!$B$10)^((YEAR($A215)-2024))*(1-Assumptions!$B$12)</f>
        <v/>
      </c>
      <c r="F215" s="24">
        <f>D215*E215</f>
        <v/>
      </c>
    </row>
    <row r="216" ht="15" customHeight="1" s="20">
      <c r="A216" s="22" t="n">
        <v>45717</v>
      </c>
      <c r="B216" s="23" t="inlineStr">
        <is>
          <t>华东</t>
        </is>
      </c>
      <c r="C216" s="19" t="inlineStr">
        <is>
          <t>Epsilon</t>
        </is>
      </c>
      <c r="D216" s="24" t="n">
        <v>1575</v>
      </c>
      <c r="E216" s="24">
        <f>INDEX(Assumptions!$E$4:$E$8,MATCH($C216,Assumptions!$D$4:$D$8,0))*(1+Assumptions!$B$10)^((YEAR($A216)-2024))*(1-Assumptions!$B$12)</f>
        <v/>
      </c>
      <c r="F216" s="24">
        <f>D216*E216</f>
        <v/>
      </c>
    </row>
    <row r="217" ht="15" customHeight="1" s="20">
      <c r="A217" s="22" t="n">
        <v>45717</v>
      </c>
      <c r="B217" s="23" t="inlineStr">
        <is>
          <t>华南</t>
        </is>
      </c>
      <c r="C217" s="19" t="inlineStr">
        <is>
          <t>Alpha</t>
        </is>
      </c>
      <c r="D217" s="24" t="n">
        <v>2515</v>
      </c>
      <c r="E217" s="24">
        <f>INDEX(Assumptions!$E$4:$E$8,MATCH($C217,Assumptions!$D$4:$D$8,0))*(1+Assumptions!$B$10)^((YEAR($A217)-2024))*(1-Assumptions!$B$12)</f>
        <v/>
      </c>
      <c r="F217" s="24">
        <f>D217*E217</f>
        <v/>
      </c>
    </row>
    <row r="218" ht="15" customHeight="1" s="20">
      <c r="A218" s="22" t="n">
        <v>45717</v>
      </c>
      <c r="B218" s="23" t="inlineStr">
        <is>
          <t>华南</t>
        </is>
      </c>
      <c r="C218" s="19" t="inlineStr">
        <is>
          <t>Beta</t>
        </is>
      </c>
      <c r="D218" s="24" t="n">
        <v>2003</v>
      </c>
      <c r="E218" s="24">
        <f>INDEX(Assumptions!$E$4:$E$8,MATCH($C218,Assumptions!$D$4:$D$8,0))*(1+Assumptions!$B$10)^((YEAR($A218)-2024))*(1-Assumptions!$B$12)</f>
        <v/>
      </c>
      <c r="F218" s="24">
        <f>D218*E218</f>
        <v/>
      </c>
    </row>
    <row r="219" ht="15" customHeight="1" s="20">
      <c r="A219" s="22" t="n">
        <v>45717</v>
      </c>
      <c r="B219" s="23" t="inlineStr">
        <is>
          <t>华南</t>
        </is>
      </c>
      <c r="C219" s="19" t="inlineStr">
        <is>
          <t>Gamma</t>
        </is>
      </c>
      <c r="D219" s="24" t="n">
        <v>1983</v>
      </c>
      <c r="E219" s="24">
        <f>INDEX(Assumptions!$E$4:$E$8,MATCH($C219,Assumptions!$D$4:$D$8,0))*(1+Assumptions!$B$10)^((YEAR($A219)-2024))*(1-Assumptions!$B$12)</f>
        <v/>
      </c>
      <c r="F219" s="24">
        <f>D219*E219</f>
        <v/>
      </c>
    </row>
    <row r="220" ht="15" customHeight="1" s="20">
      <c r="A220" s="22" t="n">
        <v>45717</v>
      </c>
      <c r="B220" s="23" t="inlineStr">
        <is>
          <t>华南</t>
        </is>
      </c>
      <c r="C220" s="19" t="inlineStr">
        <is>
          <t>Delta</t>
        </is>
      </c>
      <c r="D220" s="24" t="n">
        <v>1374</v>
      </c>
      <c r="E220" s="24">
        <f>INDEX(Assumptions!$E$4:$E$8,MATCH($C220,Assumptions!$D$4:$D$8,0))*(1+Assumptions!$B$10)^((YEAR($A220)-2024))*(1-Assumptions!$B$12)</f>
        <v/>
      </c>
      <c r="F220" s="24">
        <f>D220*E220</f>
        <v/>
      </c>
    </row>
    <row r="221" ht="15" customHeight="1" s="20">
      <c r="A221" s="22" t="n">
        <v>45717</v>
      </c>
      <c r="B221" s="23" t="inlineStr">
        <is>
          <t>华南</t>
        </is>
      </c>
      <c r="C221" s="19" t="inlineStr">
        <is>
          <t>Epsilon</t>
        </is>
      </c>
      <c r="D221" s="24" t="n">
        <v>1130</v>
      </c>
      <c r="E221" s="24">
        <f>INDEX(Assumptions!$E$4:$E$8,MATCH($C221,Assumptions!$D$4:$D$8,0))*(1+Assumptions!$B$10)^((YEAR($A221)-2024))*(1-Assumptions!$B$12)</f>
        <v/>
      </c>
      <c r="F221" s="24">
        <f>D221*E221</f>
        <v/>
      </c>
    </row>
    <row r="222" ht="15" customHeight="1" s="20">
      <c r="A222" s="22" t="n">
        <v>45717</v>
      </c>
      <c r="B222" s="23" t="inlineStr">
        <is>
          <t>华北</t>
        </is>
      </c>
      <c r="C222" s="19" t="inlineStr">
        <is>
          <t>Alpha</t>
        </is>
      </c>
      <c r="D222" s="24" t="n">
        <v>2247</v>
      </c>
      <c r="E222" s="24">
        <f>INDEX(Assumptions!$E$4:$E$8,MATCH($C222,Assumptions!$D$4:$D$8,0))*(1+Assumptions!$B$10)^((YEAR($A222)-2024))*(1-Assumptions!$B$12)</f>
        <v/>
      </c>
      <c r="F222" s="24">
        <f>D222*E222</f>
        <v/>
      </c>
    </row>
    <row r="223" ht="15" customHeight="1" s="20">
      <c r="A223" s="22" t="n">
        <v>45717</v>
      </c>
      <c r="B223" s="23" t="inlineStr">
        <is>
          <t>华北</t>
        </is>
      </c>
      <c r="C223" s="19" t="inlineStr">
        <is>
          <t>Beta</t>
        </is>
      </c>
      <c r="D223" s="24" t="n">
        <v>1815</v>
      </c>
      <c r="E223" s="24">
        <f>INDEX(Assumptions!$E$4:$E$8,MATCH($C223,Assumptions!$D$4:$D$8,0))*(1+Assumptions!$B$10)^((YEAR($A223)-2024))*(1-Assumptions!$B$12)</f>
        <v/>
      </c>
      <c r="F223" s="24">
        <f>D223*E223</f>
        <v/>
      </c>
    </row>
    <row r="224" ht="15" customHeight="1" s="20">
      <c r="A224" s="22" t="n">
        <v>45717</v>
      </c>
      <c r="B224" s="23" t="inlineStr">
        <is>
          <t>华北</t>
        </is>
      </c>
      <c r="C224" s="19" t="inlineStr">
        <is>
          <t>Gamma</t>
        </is>
      </c>
      <c r="D224" s="24" t="n">
        <v>1696</v>
      </c>
      <c r="E224" s="24">
        <f>INDEX(Assumptions!$E$4:$E$8,MATCH($C224,Assumptions!$D$4:$D$8,0))*(1+Assumptions!$B$10)^((YEAR($A224)-2024))*(1-Assumptions!$B$12)</f>
        <v/>
      </c>
      <c r="F224" s="24">
        <f>D224*E224</f>
        <v/>
      </c>
    </row>
    <row r="225" ht="15" customHeight="1" s="20">
      <c r="A225" s="22" t="n">
        <v>45717</v>
      </c>
      <c r="B225" s="23" t="inlineStr">
        <is>
          <t>华北</t>
        </is>
      </c>
      <c r="C225" s="19" t="inlineStr">
        <is>
          <t>Delta</t>
        </is>
      </c>
      <c r="D225" s="24" t="n">
        <v>1482</v>
      </c>
      <c r="E225" s="24">
        <f>INDEX(Assumptions!$E$4:$E$8,MATCH($C225,Assumptions!$D$4:$D$8,0))*(1+Assumptions!$B$10)^((YEAR($A225)-2024))*(1-Assumptions!$B$12)</f>
        <v/>
      </c>
      <c r="F225" s="24">
        <f>D225*E225</f>
        <v/>
      </c>
    </row>
    <row r="226" ht="15" customHeight="1" s="20">
      <c r="A226" s="22" t="n">
        <v>45717</v>
      </c>
      <c r="B226" s="23" t="inlineStr">
        <is>
          <t>华北</t>
        </is>
      </c>
      <c r="C226" s="19" t="inlineStr">
        <is>
          <t>Epsilon</t>
        </is>
      </c>
      <c r="D226" s="24" t="n">
        <v>939</v>
      </c>
      <c r="E226" s="24">
        <f>INDEX(Assumptions!$E$4:$E$8,MATCH($C226,Assumptions!$D$4:$D$8,0))*(1+Assumptions!$B$10)^((YEAR($A226)-2024))*(1-Assumptions!$B$12)</f>
        <v/>
      </c>
      <c r="F226" s="24">
        <f>D226*E226</f>
        <v/>
      </c>
    </row>
    <row r="227" ht="15" customHeight="1" s="20">
      <c r="A227" s="22" t="n">
        <v>45748</v>
      </c>
      <c r="B227" s="23" t="inlineStr">
        <is>
          <t>华东</t>
        </is>
      </c>
      <c r="C227" s="19" t="inlineStr">
        <is>
          <t>Alpha</t>
        </is>
      </c>
      <c r="D227" s="24" t="n">
        <v>2652</v>
      </c>
      <c r="E227" s="24">
        <f>INDEX(Assumptions!$E$4:$E$8,MATCH($C227,Assumptions!$D$4:$D$8,0))*(1+Assumptions!$B$10)^((YEAR($A227)-2024))*(1-Assumptions!$B$12)</f>
        <v/>
      </c>
      <c r="F227" s="24">
        <f>D227*E227</f>
        <v/>
      </c>
    </row>
    <row r="228" ht="15" customHeight="1" s="20">
      <c r="A228" s="22" t="n">
        <v>45748</v>
      </c>
      <c r="B228" s="23" t="inlineStr">
        <is>
          <t>华东</t>
        </is>
      </c>
      <c r="C228" s="19" t="inlineStr">
        <is>
          <t>Beta</t>
        </is>
      </c>
      <c r="D228" s="24" t="n">
        <v>2330</v>
      </c>
      <c r="E228" s="24">
        <f>INDEX(Assumptions!$E$4:$E$8,MATCH($C228,Assumptions!$D$4:$D$8,0))*(1+Assumptions!$B$10)^((YEAR($A228)-2024))*(1-Assumptions!$B$12)</f>
        <v/>
      </c>
      <c r="F228" s="24">
        <f>D228*E228</f>
        <v/>
      </c>
    </row>
    <row r="229" ht="15" customHeight="1" s="20">
      <c r="A229" s="22" t="n">
        <v>45748</v>
      </c>
      <c r="B229" s="23" t="inlineStr">
        <is>
          <t>华东</t>
        </is>
      </c>
      <c r="C229" s="19" t="inlineStr">
        <is>
          <t>Gamma</t>
        </is>
      </c>
      <c r="D229" s="24" t="n">
        <v>2432</v>
      </c>
      <c r="E229" s="24">
        <f>INDEX(Assumptions!$E$4:$E$8,MATCH($C229,Assumptions!$D$4:$D$8,0))*(1+Assumptions!$B$10)^((YEAR($A229)-2024))*(1-Assumptions!$B$12)</f>
        <v/>
      </c>
      <c r="F229" s="24">
        <f>D229*E229</f>
        <v/>
      </c>
    </row>
    <row r="230" ht="15" customHeight="1" s="20">
      <c r="A230" s="22" t="n">
        <v>45748</v>
      </c>
      <c r="B230" s="23" t="inlineStr">
        <is>
          <t>华东</t>
        </is>
      </c>
      <c r="C230" s="19" t="inlineStr">
        <is>
          <t>Delta</t>
        </is>
      </c>
      <c r="D230" s="24" t="n">
        <v>1625</v>
      </c>
      <c r="E230" s="24">
        <f>INDEX(Assumptions!$E$4:$E$8,MATCH($C230,Assumptions!$D$4:$D$8,0))*(1+Assumptions!$B$10)^((YEAR($A230)-2024))*(1-Assumptions!$B$12)</f>
        <v/>
      </c>
      <c r="F230" s="24">
        <f>D230*E230</f>
        <v/>
      </c>
    </row>
    <row r="231" ht="15" customHeight="1" s="20">
      <c r="A231" s="22" t="n">
        <v>45748</v>
      </c>
      <c r="B231" s="23" t="inlineStr">
        <is>
          <t>华东</t>
        </is>
      </c>
      <c r="C231" s="19" t="inlineStr">
        <is>
          <t>Epsilon</t>
        </is>
      </c>
      <c r="D231" s="24" t="n">
        <v>1619</v>
      </c>
      <c r="E231" s="24">
        <f>INDEX(Assumptions!$E$4:$E$8,MATCH($C231,Assumptions!$D$4:$D$8,0))*(1+Assumptions!$B$10)^((YEAR($A231)-2024))*(1-Assumptions!$B$12)</f>
        <v/>
      </c>
      <c r="F231" s="24">
        <f>D231*E231</f>
        <v/>
      </c>
    </row>
    <row r="232" ht="15" customHeight="1" s="20">
      <c r="A232" s="22" t="n">
        <v>45748</v>
      </c>
      <c r="B232" s="23" t="inlineStr">
        <is>
          <t>华南</t>
        </is>
      </c>
      <c r="C232" s="19" t="inlineStr">
        <is>
          <t>Alpha</t>
        </is>
      </c>
      <c r="D232" s="24" t="n">
        <v>1966</v>
      </c>
      <c r="E232" s="24">
        <f>INDEX(Assumptions!$E$4:$E$8,MATCH($C232,Assumptions!$D$4:$D$8,0))*(1+Assumptions!$B$10)^((YEAR($A232)-2024))*(1-Assumptions!$B$12)</f>
        <v/>
      </c>
      <c r="F232" s="24">
        <f>D232*E232</f>
        <v/>
      </c>
    </row>
    <row r="233" ht="15" customHeight="1" s="20">
      <c r="A233" s="22" t="n">
        <v>45748</v>
      </c>
      <c r="B233" s="23" t="inlineStr">
        <is>
          <t>华南</t>
        </is>
      </c>
      <c r="C233" s="19" t="inlineStr">
        <is>
          <t>Beta</t>
        </is>
      </c>
      <c r="D233" s="24" t="n">
        <v>1834</v>
      </c>
      <c r="E233" s="24">
        <f>INDEX(Assumptions!$E$4:$E$8,MATCH($C233,Assumptions!$D$4:$D$8,0))*(1+Assumptions!$B$10)^((YEAR($A233)-2024))*(1-Assumptions!$B$12)</f>
        <v/>
      </c>
      <c r="F233" s="24">
        <f>D233*E233</f>
        <v/>
      </c>
    </row>
    <row r="234" ht="15" customHeight="1" s="20">
      <c r="A234" s="22" t="n">
        <v>45748</v>
      </c>
      <c r="B234" s="23" t="inlineStr">
        <is>
          <t>华南</t>
        </is>
      </c>
      <c r="C234" s="19" t="inlineStr">
        <is>
          <t>Gamma</t>
        </is>
      </c>
      <c r="D234" s="24" t="n">
        <v>1967</v>
      </c>
      <c r="E234" s="24">
        <f>INDEX(Assumptions!$E$4:$E$8,MATCH($C234,Assumptions!$D$4:$D$8,0))*(1+Assumptions!$B$10)^((YEAR($A234)-2024))*(1-Assumptions!$B$12)</f>
        <v/>
      </c>
      <c r="F234" s="24">
        <f>D234*E234</f>
        <v/>
      </c>
    </row>
    <row r="235" ht="15" customHeight="1" s="20">
      <c r="A235" s="22" t="n">
        <v>45748</v>
      </c>
      <c r="B235" s="23" t="inlineStr">
        <is>
          <t>华南</t>
        </is>
      </c>
      <c r="C235" s="19" t="inlineStr">
        <is>
          <t>Delta</t>
        </is>
      </c>
      <c r="D235" s="24" t="n">
        <v>1657</v>
      </c>
      <c r="E235" s="24">
        <f>INDEX(Assumptions!$E$4:$E$8,MATCH($C235,Assumptions!$D$4:$D$8,0))*(1+Assumptions!$B$10)^((YEAR($A235)-2024))*(1-Assumptions!$B$12)</f>
        <v/>
      </c>
      <c r="F235" s="24">
        <f>D235*E235</f>
        <v/>
      </c>
    </row>
    <row r="236" ht="15" customHeight="1" s="20">
      <c r="A236" s="22" t="n">
        <v>45748</v>
      </c>
      <c r="B236" s="23" t="inlineStr">
        <is>
          <t>华南</t>
        </is>
      </c>
      <c r="C236" s="19" t="inlineStr">
        <is>
          <t>Epsilon</t>
        </is>
      </c>
      <c r="D236" s="24" t="n">
        <v>1139</v>
      </c>
      <c r="E236" s="24">
        <f>INDEX(Assumptions!$E$4:$E$8,MATCH($C236,Assumptions!$D$4:$D$8,0))*(1+Assumptions!$B$10)^((YEAR($A236)-2024))*(1-Assumptions!$B$12)</f>
        <v/>
      </c>
      <c r="F236" s="24">
        <f>D236*E236</f>
        <v/>
      </c>
    </row>
    <row r="237" ht="15" customHeight="1" s="20">
      <c r="A237" s="22" t="n">
        <v>45748</v>
      </c>
      <c r="B237" s="23" t="inlineStr">
        <is>
          <t>华北</t>
        </is>
      </c>
      <c r="C237" s="19" t="inlineStr">
        <is>
          <t>Alpha</t>
        </is>
      </c>
      <c r="D237" s="24" t="n">
        <v>1794</v>
      </c>
      <c r="E237" s="24">
        <f>INDEX(Assumptions!$E$4:$E$8,MATCH($C237,Assumptions!$D$4:$D$8,0))*(1+Assumptions!$B$10)^((YEAR($A237)-2024))*(1-Assumptions!$B$12)</f>
        <v/>
      </c>
      <c r="F237" s="24">
        <f>D237*E237</f>
        <v/>
      </c>
    </row>
    <row r="238" ht="15" customHeight="1" s="20">
      <c r="A238" s="22" t="n">
        <v>45748</v>
      </c>
      <c r="B238" s="23" t="inlineStr">
        <is>
          <t>华北</t>
        </is>
      </c>
      <c r="C238" s="19" t="inlineStr">
        <is>
          <t>Beta</t>
        </is>
      </c>
      <c r="D238" s="24" t="n">
        <v>2035</v>
      </c>
      <c r="E238" s="24">
        <f>INDEX(Assumptions!$E$4:$E$8,MATCH($C238,Assumptions!$D$4:$D$8,0))*(1+Assumptions!$B$10)^((YEAR($A238)-2024))*(1-Assumptions!$B$12)</f>
        <v/>
      </c>
      <c r="F238" s="24">
        <f>D238*E238</f>
        <v/>
      </c>
    </row>
    <row r="239" ht="15" customHeight="1" s="20">
      <c r="A239" s="22" t="n">
        <v>45748</v>
      </c>
      <c r="B239" s="23" t="inlineStr">
        <is>
          <t>华北</t>
        </is>
      </c>
      <c r="C239" s="19" t="inlineStr">
        <is>
          <t>Gamma</t>
        </is>
      </c>
      <c r="D239" s="24" t="n">
        <v>1590</v>
      </c>
      <c r="E239" s="24">
        <f>INDEX(Assumptions!$E$4:$E$8,MATCH($C239,Assumptions!$D$4:$D$8,0))*(1+Assumptions!$B$10)^((YEAR($A239)-2024))*(1-Assumptions!$B$12)</f>
        <v/>
      </c>
      <c r="F239" s="24">
        <f>D239*E239</f>
        <v/>
      </c>
    </row>
    <row r="240" ht="15" customHeight="1" s="20">
      <c r="A240" s="22" t="n">
        <v>45748</v>
      </c>
      <c r="B240" s="23" t="inlineStr">
        <is>
          <t>华北</t>
        </is>
      </c>
      <c r="C240" s="19" t="inlineStr">
        <is>
          <t>Delta</t>
        </is>
      </c>
      <c r="D240" s="24" t="n">
        <v>1457</v>
      </c>
      <c r="E240" s="24">
        <f>INDEX(Assumptions!$E$4:$E$8,MATCH($C240,Assumptions!$D$4:$D$8,0))*(1+Assumptions!$B$10)^((YEAR($A240)-2024))*(1-Assumptions!$B$12)</f>
        <v/>
      </c>
      <c r="F240" s="24">
        <f>D240*E240</f>
        <v/>
      </c>
    </row>
    <row r="241" ht="15" customHeight="1" s="20">
      <c r="A241" s="22" t="n">
        <v>45748</v>
      </c>
      <c r="B241" s="23" t="inlineStr">
        <is>
          <t>华北</t>
        </is>
      </c>
      <c r="C241" s="19" t="inlineStr">
        <is>
          <t>Epsilon</t>
        </is>
      </c>
      <c r="D241" s="24" t="n">
        <v>1153</v>
      </c>
      <c r="E241" s="24">
        <f>INDEX(Assumptions!$E$4:$E$8,MATCH($C241,Assumptions!$D$4:$D$8,0))*(1+Assumptions!$B$10)^((YEAR($A241)-2024))*(1-Assumptions!$B$12)</f>
        <v/>
      </c>
      <c r="F241" s="24">
        <f>D241*E241</f>
        <v/>
      </c>
    </row>
    <row r="242" ht="15" customHeight="1" s="20">
      <c r="A242" s="22" t="n">
        <v>45778</v>
      </c>
      <c r="B242" s="23" t="inlineStr">
        <is>
          <t>华东</t>
        </is>
      </c>
      <c r="C242" s="19" t="inlineStr">
        <is>
          <t>Alpha</t>
        </is>
      </c>
      <c r="D242" s="24" t="n">
        <v>2457</v>
      </c>
      <c r="E242" s="24">
        <f>INDEX(Assumptions!$E$4:$E$8,MATCH($C242,Assumptions!$D$4:$D$8,0))*(1+Assumptions!$B$10)^((YEAR($A242)-2024))*(1-Assumptions!$B$12)</f>
        <v/>
      </c>
      <c r="F242" s="24">
        <f>D242*E242</f>
        <v/>
      </c>
    </row>
    <row r="243" ht="15" customHeight="1" s="20">
      <c r="A243" s="22" t="n">
        <v>45778</v>
      </c>
      <c r="B243" s="23" t="inlineStr">
        <is>
          <t>华东</t>
        </is>
      </c>
      <c r="C243" s="19" t="inlineStr">
        <is>
          <t>Beta</t>
        </is>
      </c>
      <c r="D243" s="24" t="n">
        <v>2323</v>
      </c>
      <c r="E243" s="24">
        <f>INDEX(Assumptions!$E$4:$E$8,MATCH($C243,Assumptions!$D$4:$D$8,0))*(1+Assumptions!$B$10)^((YEAR($A243)-2024))*(1-Assumptions!$B$12)</f>
        <v/>
      </c>
      <c r="F243" s="24">
        <f>D243*E243</f>
        <v/>
      </c>
    </row>
    <row r="244" ht="15" customHeight="1" s="20">
      <c r="A244" s="22" t="n">
        <v>45778</v>
      </c>
      <c r="B244" s="23" t="inlineStr">
        <is>
          <t>华东</t>
        </is>
      </c>
      <c r="C244" s="19" t="inlineStr">
        <is>
          <t>Gamma</t>
        </is>
      </c>
      <c r="D244" s="24" t="n">
        <v>2155</v>
      </c>
      <c r="E244" s="24">
        <f>INDEX(Assumptions!$E$4:$E$8,MATCH($C244,Assumptions!$D$4:$D$8,0))*(1+Assumptions!$B$10)^((YEAR($A244)-2024))*(1-Assumptions!$B$12)</f>
        <v/>
      </c>
      <c r="F244" s="24">
        <f>D244*E244</f>
        <v/>
      </c>
    </row>
    <row r="245" ht="15" customHeight="1" s="20">
      <c r="A245" s="22" t="n">
        <v>45778</v>
      </c>
      <c r="B245" s="23" t="inlineStr">
        <is>
          <t>华东</t>
        </is>
      </c>
      <c r="C245" s="19" t="inlineStr">
        <is>
          <t>Delta</t>
        </is>
      </c>
      <c r="D245" s="24" t="n">
        <v>1992</v>
      </c>
      <c r="E245" s="24">
        <f>INDEX(Assumptions!$E$4:$E$8,MATCH($C245,Assumptions!$D$4:$D$8,0))*(1+Assumptions!$B$10)^((YEAR($A245)-2024))*(1-Assumptions!$B$12)</f>
        <v/>
      </c>
      <c r="F245" s="24">
        <f>D245*E245</f>
        <v/>
      </c>
    </row>
    <row r="246" ht="15" customHeight="1" s="20">
      <c r="A246" s="22" t="n">
        <v>45778</v>
      </c>
      <c r="B246" s="23" t="inlineStr">
        <is>
          <t>华东</t>
        </is>
      </c>
      <c r="C246" s="19" t="inlineStr">
        <is>
          <t>Epsilon</t>
        </is>
      </c>
      <c r="D246" s="24" t="n">
        <v>1262</v>
      </c>
      <c r="E246" s="24">
        <f>INDEX(Assumptions!$E$4:$E$8,MATCH($C246,Assumptions!$D$4:$D$8,0))*(1+Assumptions!$B$10)^((YEAR($A246)-2024))*(1-Assumptions!$B$12)</f>
        <v/>
      </c>
      <c r="F246" s="24">
        <f>D246*E246</f>
        <v/>
      </c>
    </row>
    <row r="247" ht="15" customHeight="1" s="20">
      <c r="A247" s="22" t="n">
        <v>45778</v>
      </c>
      <c r="B247" s="23" t="inlineStr">
        <is>
          <t>华南</t>
        </is>
      </c>
      <c r="C247" s="19" t="inlineStr">
        <is>
          <t>Alpha</t>
        </is>
      </c>
      <c r="D247" s="24" t="n">
        <v>2331</v>
      </c>
      <c r="E247" s="24">
        <f>INDEX(Assumptions!$E$4:$E$8,MATCH($C247,Assumptions!$D$4:$D$8,0))*(1+Assumptions!$B$10)^((YEAR($A247)-2024))*(1-Assumptions!$B$12)</f>
        <v/>
      </c>
      <c r="F247" s="24">
        <f>D247*E247</f>
        <v/>
      </c>
    </row>
    <row r="248" ht="15" customHeight="1" s="20">
      <c r="A248" s="22" t="n">
        <v>45778</v>
      </c>
      <c r="B248" s="23" t="inlineStr">
        <is>
          <t>华南</t>
        </is>
      </c>
      <c r="C248" s="19" t="inlineStr">
        <is>
          <t>Beta</t>
        </is>
      </c>
      <c r="D248" s="24" t="n">
        <v>1816</v>
      </c>
      <c r="E248" s="24">
        <f>INDEX(Assumptions!$E$4:$E$8,MATCH($C248,Assumptions!$D$4:$D$8,0))*(1+Assumptions!$B$10)^((YEAR($A248)-2024))*(1-Assumptions!$B$12)</f>
        <v/>
      </c>
      <c r="F248" s="24">
        <f>D248*E248</f>
        <v/>
      </c>
    </row>
    <row r="249" ht="15" customHeight="1" s="20">
      <c r="A249" s="22" t="n">
        <v>45778</v>
      </c>
      <c r="B249" s="23" t="inlineStr">
        <is>
          <t>华南</t>
        </is>
      </c>
      <c r="C249" s="19" t="inlineStr">
        <is>
          <t>Gamma</t>
        </is>
      </c>
      <c r="D249" s="24" t="n">
        <v>1803</v>
      </c>
      <c r="E249" s="24">
        <f>INDEX(Assumptions!$E$4:$E$8,MATCH($C249,Assumptions!$D$4:$D$8,0))*(1+Assumptions!$B$10)^((YEAR($A249)-2024))*(1-Assumptions!$B$12)</f>
        <v/>
      </c>
      <c r="F249" s="24">
        <f>D249*E249</f>
        <v/>
      </c>
    </row>
    <row r="250" ht="15" customHeight="1" s="20">
      <c r="A250" s="22" t="n">
        <v>45778</v>
      </c>
      <c r="B250" s="23" t="inlineStr">
        <is>
          <t>华南</t>
        </is>
      </c>
      <c r="C250" s="19" t="inlineStr">
        <is>
          <t>Delta</t>
        </is>
      </c>
      <c r="D250" s="24" t="n">
        <v>1611</v>
      </c>
      <c r="E250" s="24">
        <f>INDEX(Assumptions!$E$4:$E$8,MATCH($C250,Assumptions!$D$4:$D$8,0))*(1+Assumptions!$B$10)^((YEAR($A250)-2024))*(1-Assumptions!$B$12)</f>
        <v/>
      </c>
      <c r="F250" s="24">
        <f>D250*E250</f>
        <v/>
      </c>
    </row>
    <row r="251" ht="15" customHeight="1" s="20">
      <c r="A251" s="22" t="n">
        <v>45778</v>
      </c>
      <c r="B251" s="23" t="inlineStr">
        <is>
          <t>华南</t>
        </is>
      </c>
      <c r="C251" s="19" t="inlineStr">
        <is>
          <t>Epsilon</t>
        </is>
      </c>
      <c r="D251" s="24" t="n">
        <v>1132</v>
      </c>
      <c r="E251" s="24">
        <f>INDEX(Assumptions!$E$4:$E$8,MATCH($C251,Assumptions!$D$4:$D$8,0))*(1+Assumptions!$B$10)^((YEAR($A251)-2024))*(1-Assumptions!$B$12)</f>
        <v/>
      </c>
      <c r="F251" s="24">
        <f>D251*E251</f>
        <v/>
      </c>
    </row>
    <row r="252" ht="15" customHeight="1" s="20">
      <c r="A252" s="22" t="n">
        <v>45778</v>
      </c>
      <c r="B252" s="23" t="inlineStr">
        <is>
          <t>华北</t>
        </is>
      </c>
      <c r="C252" s="19" t="inlineStr">
        <is>
          <t>Alpha</t>
        </is>
      </c>
      <c r="D252" s="24" t="n">
        <v>1862</v>
      </c>
      <c r="E252" s="24">
        <f>INDEX(Assumptions!$E$4:$E$8,MATCH($C252,Assumptions!$D$4:$D$8,0))*(1+Assumptions!$B$10)^((YEAR($A252)-2024))*(1-Assumptions!$B$12)</f>
        <v/>
      </c>
      <c r="F252" s="24">
        <f>D252*E252</f>
        <v/>
      </c>
    </row>
    <row r="253" ht="15" customHeight="1" s="20">
      <c r="A253" s="22" t="n">
        <v>45778</v>
      </c>
      <c r="B253" s="23" t="inlineStr">
        <is>
          <t>华北</t>
        </is>
      </c>
      <c r="C253" s="19" t="inlineStr">
        <is>
          <t>Beta</t>
        </is>
      </c>
      <c r="D253" s="24" t="n">
        <v>1907</v>
      </c>
      <c r="E253" s="24">
        <f>INDEX(Assumptions!$E$4:$E$8,MATCH($C253,Assumptions!$D$4:$D$8,0))*(1+Assumptions!$B$10)^((YEAR($A253)-2024))*(1-Assumptions!$B$12)</f>
        <v/>
      </c>
      <c r="F253" s="24">
        <f>D253*E253</f>
        <v/>
      </c>
    </row>
    <row r="254" ht="15" customHeight="1" s="20">
      <c r="A254" s="22" t="n">
        <v>45778</v>
      </c>
      <c r="B254" s="23" t="inlineStr">
        <is>
          <t>华北</t>
        </is>
      </c>
      <c r="C254" s="19" t="inlineStr">
        <is>
          <t>Gamma</t>
        </is>
      </c>
      <c r="D254" s="24" t="n">
        <v>1460</v>
      </c>
      <c r="E254" s="24">
        <f>INDEX(Assumptions!$E$4:$E$8,MATCH($C254,Assumptions!$D$4:$D$8,0))*(1+Assumptions!$B$10)^((YEAR($A254)-2024))*(1-Assumptions!$B$12)</f>
        <v/>
      </c>
      <c r="F254" s="24">
        <f>D254*E254</f>
        <v/>
      </c>
    </row>
    <row r="255" ht="15" customHeight="1" s="20">
      <c r="A255" s="22" t="n">
        <v>45778</v>
      </c>
      <c r="B255" s="23" t="inlineStr">
        <is>
          <t>华北</t>
        </is>
      </c>
      <c r="C255" s="19" t="inlineStr">
        <is>
          <t>Delta</t>
        </is>
      </c>
      <c r="D255" s="24" t="n">
        <v>1362</v>
      </c>
      <c r="E255" s="24">
        <f>INDEX(Assumptions!$E$4:$E$8,MATCH($C255,Assumptions!$D$4:$D$8,0))*(1+Assumptions!$B$10)^((YEAR($A255)-2024))*(1-Assumptions!$B$12)</f>
        <v/>
      </c>
      <c r="F255" s="24">
        <f>D255*E255</f>
        <v/>
      </c>
    </row>
    <row r="256" ht="15" customHeight="1" s="20">
      <c r="A256" s="22" t="n">
        <v>45778</v>
      </c>
      <c r="B256" s="23" t="inlineStr">
        <is>
          <t>华北</t>
        </is>
      </c>
      <c r="C256" s="19" t="inlineStr">
        <is>
          <t>Epsilon</t>
        </is>
      </c>
      <c r="D256" s="24" t="n">
        <v>1245</v>
      </c>
      <c r="E256" s="24">
        <f>INDEX(Assumptions!$E$4:$E$8,MATCH($C256,Assumptions!$D$4:$D$8,0))*(1+Assumptions!$B$10)^((YEAR($A256)-2024))*(1-Assumptions!$B$12)</f>
        <v/>
      </c>
      <c r="F256" s="24">
        <f>D256*E256</f>
        <v/>
      </c>
    </row>
    <row r="257" ht="15" customHeight="1" s="20">
      <c r="A257" s="22" t="n">
        <v>45809</v>
      </c>
      <c r="B257" s="23" t="inlineStr">
        <is>
          <t>华东</t>
        </is>
      </c>
      <c r="C257" s="19" t="inlineStr">
        <is>
          <t>Alpha</t>
        </is>
      </c>
      <c r="D257" s="24" t="n">
        <v>2675</v>
      </c>
      <c r="E257" s="24">
        <f>INDEX(Assumptions!$E$4:$E$8,MATCH($C257,Assumptions!$D$4:$D$8,0))*(1+Assumptions!$B$10)^((YEAR($A257)-2024))*(1-Assumptions!$B$12)</f>
        <v/>
      </c>
      <c r="F257" s="24">
        <f>D257*E257</f>
        <v/>
      </c>
    </row>
    <row r="258" ht="15" customHeight="1" s="20">
      <c r="A258" s="22" t="n">
        <v>45809</v>
      </c>
      <c r="B258" s="23" t="inlineStr">
        <is>
          <t>华东</t>
        </is>
      </c>
      <c r="C258" s="19" t="inlineStr">
        <is>
          <t>Beta</t>
        </is>
      </c>
      <c r="D258" s="24" t="n">
        <v>1827</v>
      </c>
      <c r="E258" s="24">
        <f>INDEX(Assumptions!$E$4:$E$8,MATCH($C258,Assumptions!$D$4:$D$8,0))*(1+Assumptions!$B$10)^((YEAR($A258)-2024))*(1-Assumptions!$B$12)</f>
        <v/>
      </c>
      <c r="F258" s="24">
        <f>D258*E258</f>
        <v/>
      </c>
    </row>
    <row r="259" ht="15" customHeight="1" s="20">
      <c r="A259" s="22" t="n">
        <v>45809</v>
      </c>
      <c r="B259" s="23" t="inlineStr">
        <is>
          <t>华东</t>
        </is>
      </c>
      <c r="C259" s="19" t="inlineStr">
        <is>
          <t>Gamma</t>
        </is>
      </c>
      <c r="D259" s="24" t="n">
        <v>1809</v>
      </c>
      <c r="E259" s="24">
        <f>INDEX(Assumptions!$E$4:$E$8,MATCH($C259,Assumptions!$D$4:$D$8,0))*(1+Assumptions!$B$10)^((YEAR($A259)-2024))*(1-Assumptions!$B$12)</f>
        <v/>
      </c>
      <c r="F259" s="24">
        <f>D259*E259</f>
        <v/>
      </c>
    </row>
    <row r="260" ht="15" customHeight="1" s="20">
      <c r="A260" s="22" t="n">
        <v>45809</v>
      </c>
      <c r="B260" s="23" t="inlineStr">
        <is>
          <t>华东</t>
        </is>
      </c>
      <c r="C260" s="19" t="inlineStr">
        <is>
          <t>Delta</t>
        </is>
      </c>
      <c r="D260" s="24" t="n">
        <v>1515</v>
      </c>
      <c r="E260" s="24">
        <f>INDEX(Assumptions!$E$4:$E$8,MATCH($C260,Assumptions!$D$4:$D$8,0))*(1+Assumptions!$B$10)^((YEAR($A260)-2024))*(1-Assumptions!$B$12)</f>
        <v/>
      </c>
      <c r="F260" s="24">
        <f>D260*E260</f>
        <v/>
      </c>
    </row>
    <row r="261" ht="15" customHeight="1" s="20">
      <c r="A261" s="22" t="n">
        <v>45809</v>
      </c>
      <c r="B261" s="23" t="inlineStr">
        <is>
          <t>华东</t>
        </is>
      </c>
      <c r="C261" s="19" t="inlineStr">
        <is>
          <t>Epsilon</t>
        </is>
      </c>
      <c r="D261" s="24" t="n">
        <v>1447</v>
      </c>
      <c r="E261" s="24">
        <f>INDEX(Assumptions!$E$4:$E$8,MATCH($C261,Assumptions!$D$4:$D$8,0))*(1+Assumptions!$B$10)^((YEAR($A261)-2024))*(1-Assumptions!$B$12)</f>
        <v/>
      </c>
      <c r="F261" s="24">
        <f>D261*E261</f>
        <v/>
      </c>
    </row>
    <row r="262" ht="15" customHeight="1" s="20">
      <c r="A262" s="22" t="n">
        <v>45809</v>
      </c>
      <c r="B262" s="23" t="inlineStr">
        <is>
          <t>华南</t>
        </is>
      </c>
      <c r="C262" s="19" t="inlineStr">
        <is>
          <t>Alpha</t>
        </is>
      </c>
      <c r="D262" s="24" t="n">
        <v>2256</v>
      </c>
      <c r="E262" s="24">
        <f>INDEX(Assumptions!$E$4:$E$8,MATCH($C262,Assumptions!$D$4:$D$8,0))*(1+Assumptions!$B$10)^((YEAR($A262)-2024))*(1-Assumptions!$B$12)</f>
        <v/>
      </c>
      <c r="F262" s="24">
        <f>D262*E262</f>
        <v/>
      </c>
    </row>
    <row r="263" ht="15" customHeight="1" s="20">
      <c r="A263" s="22" t="n">
        <v>45809</v>
      </c>
      <c r="B263" s="23" t="inlineStr">
        <is>
          <t>华南</t>
        </is>
      </c>
      <c r="C263" s="19" t="inlineStr">
        <is>
          <t>Beta</t>
        </is>
      </c>
      <c r="D263" s="24" t="n">
        <v>2029</v>
      </c>
      <c r="E263" s="24">
        <f>INDEX(Assumptions!$E$4:$E$8,MATCH($C263,Assumptions!$D$4:$D$8,0))*(1+Assumptions!$B$10)^((YEAR($A263)-2024))*(1-Assumptions!$B$12)</f>
        <v/>
      </c>
      <c r="F263" s="24">
        <f>D263*E263</f>
        <v/>
      </c>
    </row>
    <row r="264" ht="15" customHeight="1" s="20">
      <c r="A264" s="22" t="n">
        <v>45809</v>
      </c>
      <c r="B264" s="23" t="inlineStr">
        <is>
          <t>华南</t>
        </is>
      </c>
      <c r="C264" s="19" t="inlineStr">
        <is>
          <t>Gamma</t>
        </is>
      </c>
      <c r="D264" s="24" t="n">
        <v>1653</v>
      </c>
      <c r="E264" s="24">
        <f>INDEX(Assumptions!$E$4:$E$8,MATCH($C264,Assumptions!$D$4:$D$8,0))*(1+Assumptions!$B$10)^((YEAR($A264)-2024))*(1-Assumptions!$B$12)</f>
        <v/>
      </c>
      <c r="F264" s="24">
        <f>D264*E264</f>
        <v/>
      </c>
    </row>
    <row r="265" ht="15" customHeight="1" s="20">
      <c r="A265" s="22" t="n">
        <v>45809</v>
      </c>
      <c r="B265" s="23" t="inlineStr">
        <is>
          <t>华南</t>
        </is>
      </c>
      <c r="C265" s="19" t="inlineStr">
        <is>
          <t>Delta</t>
        </is>
      </c>
      <c r="D265" s="24" t="n">
        <v>1271</v>
      </c>
      <c r="E265" s="24">
        <f>INDEX(Assumptions!$E$4:$E$8,MATCH($C265,Assumptions!$D$4:$D$8,0))*(1+Assumptions!$B$10)^((YEAR($A265)-2024))*(1-Assumptions!$B$12)</f>
        <v/>
      </c>
      <c r="F265" s="24">
        <f>D265*E265</f>
        <v/>
      </c>
    </row>
    <row r="266" ht="15" customHeight="1" s="20">
      <c r="A266" s="22" t="n">
        <v>45809</v>
      </c>
      <c r="B266" s="23" t="inlineStr">
        <is>
          <t>华南</t>
        </is>
      </c>
      <c r="C266" s="19" t="inlineStr">
        <is>
          <t>Epsilon</t>
        </is>
      </c>
      <c r="D266" s="24" t="n">
        <v>1225</v>
      </c>
      <c r="E266" s="24">
        <f>INDEX(Assumptions!$E$4:$E$8,MATCH($C266,Assumptions!$D$4:$D$8,0))*(1+Assumptions!$B$10)^((YEAR($A266)-2024))*(1-Assumptions!$B$12)</f>
        <v/>
      </c>
      <c r="F266" s="24">
        <f>D266*E266</f>
        <v/>
      </c>
    </row>
    <row r="267" ht="15" customHeight="1" s="20">
      <c r="A267" s="22" t="n">
        <v>45809</v>
      </c>
      <c r="B267" s="23" t="inlineStr">
        <is>
          <t>华北</t>
        </is>
      </c>
      <c r="C267" s="19" t="inlineStr">
        <is>
          <t>Alpha</t>
        </is>
      </c>
      <c r="D267" s="24" t="n">
        <v>1933</v>
      </c>
      <c r="E267" s="24">
        <f>INDEX(Assumptions!$E$4:$E$8,MATCH($C267,Assumptions!$D$4:$D$8,0))*(1+Assumptions!$B$10)^((YEAR($A267)-2024))*(1-Assumptions!$B$12)</f>
        <v/>
      </c>
      <c r="F267" s="24">
        <f>D267*E267</f>
        <v/>
      </c>
    </row>
    <row r="268" ht="15" customHeight="1" s="20">
      <c r="A268" s="22" t="n">
        <v>45809</v>
      </c>
      <c r="B268" s="23" t="inlineStr">
        <is>
          <t>华北</t>
        </is>
      </c>
      <c r="C268" s="19" t="inlineStr">
        <is>
          <t>Beta</t>
        </is>
      </c>
      <c r="D268" s="24" t="n">
        <v>1695</v>
      </c>
      <c r="E268" s="24">
        <f>INDEX(Assumptions!$E$4:$E$8,MATCH($C268,Assumptions!$D$4:$D$8,0))*(1+Assumptions!$B$10)^((YEAR($A268)-2024))*(1-Assumptions!$B$12)</f>
        <v/>
      </c>
      <c r="F268" s="24">
        <f>D268*E268</f>
        <v/>
      </c>
    </row>
    <row r="269" ht="15" customHeight="1" s="20">
      <c r="A269" s="22" t="n">
        <v>45809</v>
      </c>
      <c r="B269" s="23" t="inlineStr">
        <is>
          <t>华北</t>
        </is>
      </c>
      <c r="C269" s="19" t="inlineStr">
        <is>
          <t>Gamma</t>
        </is>
      </c>
      <c r="D269" s="24" t="n">
        <v>1775</v>
      </c>
      <c r="E269" s="24">
        <f>INDEX(Assumptions!$E$4:$E$8,MATCH($C269,Assumptions!$D$4:$D$8,0))*(1+Assumptions!$B$10)^((YEAR($A269)-2024))*(1-Assumptions!$B$12)</f>
        <v/>
      </c>
      <c r="F269" s="24">
        <f>D269*E269</f>
        <v/>
      </c>
    </row>
    <row r="270" ht="15" customHeight="1" s="20">
      <c r="A270" s="22" t="n">
        <v>45809</v>
      </c>
      <c r="B270" s="23" t="inlineStr">
        <is>
          <t>华北</t>
        </is>
      </c>
      <c r="C270" s="19" t="inlineStr">
        <is>
          <t>Delta</t>
        </is>
      </c>
      <c r="D270" s="24" t="n">
        <v>1334</v>
      </c>
      <c r="E270" s="24">
        <f>INDEX(Assumptions!$E$4:$E$8,MATCH($C270,Assumptions!$D$4:$D$8,0))*(1+Assumptions!$B$10)^((YEAR($A270)-2024))*(1-Assumptions!$B$12)</f>
        <v/>
      </c>
      <c r="F270" s="24">
        <f>D270*E270</f>
        <v/>
      </c>
    </row>
    <row r="271" ht="15" customHeight="1" s="20">
      <c r="A271" s="22" t="n">
        <v>45809</v>
      </c>
      <c r="B271" s="23" t="inlineStr">
        <is>
          <t>华北</t>
        </is>
      </c>
      <c r="C271" s="19" t="inlineStr">
        <is>
          <t>Epsilon</t>
        </is>
      </c>
      <c r="D271" s="24" t="n">
        <v>854</v>
      </c>
      <c r="E271" s="24">
        <f>INDEX(Assumptions!$E$4:$E$8,MATCH($C271,Assumptions!$D$4:$D$8,0))*(1+Assumptions!$B$10)^((YEAR($A271)-2024))*(1-Assumptions!$B$12)</f>
        <v/>
      </c>
      <c r="F271" s="24">
        <f>D271*E271</f>
        <v/>
      </c>
    </row>
    <row r="272" ht="15" customHeight="1" s="20">
      <c r="A272" s="22" t="n">
        <v>45839</v>
      </c>
      <c r="B272" s="23" t="inlineStr">
        <is>
          <t>华东</t>
        </is>
      </c>
      <c r="C272" s="19" t="inlineStr">
        <is>
          <t>Alpha</t>
        </is>
      </c>
      <c r="D272" s="24" t="n">
        <v>2266</v>
      </c>
      <c r="E272" s="24">
        <f>INDEX(Assumptions!$E$4:$E$8,MATCH($C272,Assumptions!$D$4:$D$8,0))*(1+Assumptions!$B$10)^((YEAR($A272)-2024))*(1-Assumptions!$B$12)</f>
        <v/>
      </c>
      <c r="F272" s="24">
        <f>D272*E272</f>
        <v/>
      </c>
    </row>
    <row r="273" ht="15" customHeight="1" s="20">
      <c r="A273" s="22" t="n">
        <v>45839</v>
      </c>
      <c r="B273" s="23" t="inlineStr">
        <is>
          <t>华东</t>
        </is>
      </c>
      <c r="C273" s="19" t="inlineStr">
        <is>
          <t>Beta</t>
        </is>
      </c>
      <c r="D273" s="24" t="n">
        <v>1750</v>
      </c>
      <c r="E273" s="24">
        <f>INDEX(Assumptions!$E$4:$E$8,MATCH($C273,Assumptions!$D$4:$D$8,0))*(1+Assumptions!$B$10)^((YEAR($A273)-2024))*(1-Assumptions!$B$12)</f>
        <v/>
      </c>
      <c r="F273" s="24">
        <f>D273*E273</f>
        <v/>
      </c>
    </row>
    <row r="274" ht="15" customHeight="1" s="20">
      <c r="A274" s="22" t="n">
        <v>45839</v>
      </c>
      <c r="B274" s="23" t="inlineStr">
        <is>
          <t>华东</t>
        </is>
      </c>
      <c r="C274" s="19" t="inlineStr">
        <is>
          <t>Gamma</t>
        </is>
      </c>
      <c r="D274" s="24" t="n">
        <v>1845</v>
      </c>
      <c r="E274" s="24">
        <f>INDEX(Assumptions!$E$4:$E$8,MATCH($C274,Assumptions!$D$4:$D$8,0))*(1+Assumptions!$B$10)^((YEAR($A274)-2024))*(1-Assumptions!$B$12)</f>
        <v/>
      </c>
      <c r="F274" s="24">
        <f>D274*E274</f>
        <v/>
      </c>
    </row>
    <row r="275" ht="15" customHeight="1" s="20">
      <c r="A275" s="22" t="n">
        <v>45839</v>
      </c>
      <c r="B275" s="23" t="inlineStr">
        <is>
          <t>华东</t>
        </is>
      </c>
      <c r="C275" s="19" t="inlineStr">
        <is>
          <t>Delta</t>
        </is>
      </c>
      <c r="D275" s="24" t="n">
        <v>1639</v>
      </c>
      <c r="E275" s="24">
        <f>INDEX(Assumptions!$E$4:$E$8,MATCH($C275,Assumptions!$D$4:$D$8,0))*(1+Assumptions!$B$10)^((YEAR($A275)-2024))*(1-Assumptions!$B$12)</f>
        <v/>
      </c>
      <c r="F275" s="24">
        <f>D275*E275</f>
        <v/>
      </c>
    </row>
    <row r="276" ht="15" customHeight="1" s="20">
      <c r="A276" s="22" t="n">
        <v>45839</v>
      </c>
      <c r="B276" s="23" t="inlineStr">
        <is>
          <t>华东</t>
        </is>
      </c>
      <c r="C276" s="19" t="inlineStr">
        <is>
          <t>Epsilon</t>
        </is>
      </c>
      <c r="D276" s="24" t="n">
        <v>1013</v>
      </c>
      <c r="E276" s="24">
        <f>INDEX(Assumptions!$E$4:$E$8,MATCH($C276,Assumptions!$D$4:$D$8,0))*(1+Assumptions!$B$10)^((YEAR($A276)-2024))*(1-Assumptions!$B$12)</f>
        <v/>
      </c>
      <c r="F276" s="24">
        <f>D276*E276</f>
        <v/>
      </c>
    </row>
    <row r="277" ht="15" customHeight="1" s="20">
      <c r="A277" s="22" t="n">
        <v>45839</v>
      </c>
      <c r="B277" s="23" t="inlineStr">
        <is>
          <t>华南</t>
        </is>
      </c>
      <c r="C277" s="19" t="inlineStr">
        <is>
          <t>Alpha</t>
        </is>
      </c>
      <c r="D277" s="24" t="n">
        <v>1592</v>
      </c>
      <c r="E277" s="24">
        <f>INDEX(Assumptions!$E$4:$E$8,MATCH($C277,Assumptions!$D$4:$D$8,0))*(1+Assumptions!$B$10)^((YEAR($A277)-2024))*(1-Assumptions!$B$12)</f>
        <v/>
      </c>
      <c r="F277" s="24">
        <f>D277*E277</f>
        <v/>
      </c>
    </row>
    <row r="278" ht="15" customHeight="1" s="20">
      <c r="A278" s="22" t="n">
        <v>45839</v>
      </c>
      <c r="B278" s="23" t="inlineStr">
        <is>
          <t>华南</t>
        </is>
      </c>
      <c r="C278" s="19" t="inlineStr">
        <is>
          <t>Beta</t>
        </is>
      </c>
      <c r="D278" s="24" t="n">
        <v>1429</v>
      </c>
      <c r="E278" s="24">
        <f>INDEX(Assumptions!$E$4:$E$8,MATCH($C278,Assumptions!$D$4:$D$8,0))*(1+Assumptions!$B$10)^((YEAR($A278)-2024))*(1-Assumptions!$B$12)</f>
        <v/>
      </c>
      <c r="F278" s="24">
        <f>D278*E278</f>
        <v/>
      </c>
    </row>
    <row r="279" ht="15" customHeight="1" s="20">
      <c r="A279" s="22" t="n">
        <v>45839</v>
      </c>
      <c r="B279" s="23" t="inlineStr">
        <is>
          <t>华南</t>
        </is>
      </c>
      <c r="C279" s="19" t="inlineStr">
        <is>
          <t>Gamma</t>
        </is>
      </c>
      <c r="D279" s="24" t="n">
        <v>1554</v>
      </c>
      <c r="E279" s="24">
        <f>INDEX(Assumptions!$E$4:$E$8,MATCH($C279,Assumptions!$D$4:$D$8,0))*(1+Assumptions!$B$10)^((YEAR($A279)-2024))*(1-Assumptions!$B$12)</f>
        <v/>
      </c>
      <c r="F279" s="24">
        <f>D279*E279</f>
        <v/>
      </c>
    </row>
    <row r="280" ht="15" customHeight="1" s="20">
      <c r="A280" s="22" t="n">
        <v>45839</v>
      </c>
      <c r="B280" s="23" t="inlineStr">
        <is>
          <t>华南</t>
        </is>
      </c>
      <c r="C280" s="19" t="inlineStr">
        <is>
          <t>Delta</t>
        </is>
      </c>
      <c r="D280" s="24" t="n">
        <v>1173</v>
      </c>
      <c r="E280" s="24">
        <f>INDEX(Assumptions!$E$4:$E$8,MATCH($C280,Assumptions!$D$4:$D$8,0))*(1+Assumptions!$B$10)^((YEAR($A280)-2024))*(1-Assumptions!$B$12)</f>
        <v/>
      </c>
      <c r="F280" s="24">
        <f>D280*E280</f>
        <v/>
      </c>
    </row>
    <row r="281" ht="15" customHeight="1" s="20">
      <c r="A281" s="22" t="n">
        <v>45839</v>
      </c>
      <c r="B281" s="23" t="inlineStr">
        <is>
          <t>华南</t>
        </is>
      </c>
      <c r="C281" s="19" t="inlineStr">
        <is>
          <t>Epsilon</t>
        </is>
      </c>
      <c r="D281" s="24" t="n">
        <v>1021</v>
      </c>
      <c r="E281" s="24">
        <f>INDEX(Assumptions!$E$4:$E$8,MATCH($C281,Assumptions!$D$4:$D$8,0))*(1+Assumptions!$B$10)^((YEAR($A281)-2024))*(1-Assumptions!$B$12)</f>
        <v/>
      </c>
      <c r="F281" s="24">
        <f>D281*E281</f>
        <v/>
      </c>
    </row>
    <row r="282" ht="15" customHeight="1" s="20">
      <c r="A282" s="22" t="n">
        <v>45839</v>
      </c>
      <c r="B282" s="23" t="inlineStr">
        <is>
          <t>华北</t>
        </is>
      </c>
      <c r="C282" s="19" t="inlineStr">
        <is>
          <t>Alpha</t>
        </is>
      </c>
      <c r="D282" s="24" t="n">
        <v>1725</v>
      </c>
      <c r="E282" s="24">
        <f>INDEX(Assumptions!$E$4:$E$8,MATCH($C282,Assumptions!$D$4:$D$8,0))*(1+Assumptions!$B$10)^((YEAR($A282)-2024))*(1-Assumptions!$B$12)</f>
        <v/>
      </c>
      <c r="F282" s="24">
        <f>D282*E282</f>
        <v/>
      </c>
    </row>
    <row r="283" ht="15" customHeight="1" s="20">
      <c r="A283" s="22" t="n">
        <v>45839</v>
      </c>
      <c r="B283" s="23" t="inlineStr">
        <is>
          <t>华北</t>
        </is>
      </c>
      <c r="C283" s="19" t="inlineStr">
        <is>
          <t>Beta</t>
        </is>
      </c>
      <c r="D283" s="24" t="n">
        <v>1328</v>
      </c>
      <c r="E283" s="24">
        <f>INDEX(Assumptions!$E$4:$E$8,MATCH($C283,Assumptions!$D$4:$D$8,0))*(1+Assumptions!$B$10)^((YEAR($A283)-2024))*(1-Assumptions!$B$12)</f>
        <v/>
      </c>
      <c r="F283" s="24">
        <f>D283*E283</f>
        <v/>
      </c>
    </row>
    <row r="284" ht="15" customHeight="1" s="20">
      <c r="A284" s="22" t="n">
        <v>45839</v>
      </c>
      <c r="B284" s="23" t="inlineStr">
        <is>
          <t>华北</t>
        </is>
      </c>
      <c r="C284" s="19" t="inlineStr">
        <is>
          <t>Gamma</t>
        </is>
      </c>
      <c r="D284" s="24" t="n">
        <v>1432</v>
      </c>
      <c r="E284" s="24">
        <f>INDEX(Assumptions!$E$4:$E$8,MATCH($C284,Assumptions!$D$4:$D$8,0))*(1+Assumptions!$B$10)^((YEAR($A284)-2024))*(1-Assumptions!$B$12)</f>
        <v/>
      </c>
      <c r="F284" s="24">
        <f>D284*E284</f>
        <v/>
      </c>
    </row>
    <row r="285" ht="15" customHeight="1" s="20">
      <c r="A285" s="22" t="n">
        <v>45839</v>
      </c>
      <c r="B285" s="23" t="inlineStr">
        <is>
          <t>华北</t>
        </is>
      </c>
      <c r="C285" s="19" t="inlineStr">
        <is>
          <t>Delta</t>
        </is>
      </c>
      <c r="D285" s="24" t="n">
        <v>1053</v>
      </c>
      <c r="E285" s="24">
        <f>INDEX(Assumptions!$E$4:$E$8,MATCH($C285,Assumptions!$D$4:$D$8,0))*(1+Assumptions!$B$10)^((YEAR($A285)-2024))*(1-Assumptions!$B$12)</f>
        <v/>
      </c>
      <c r="F285" s="24">
        <f>D285*E285</f>
        <v/>
      </c>
    </row>
    <row r="286" ht="15" customHeight="1" s="20">
      <c r="A286" s="22" t="n">
        <v>45839</v>
      </c>
      <c r="B286" s="23" t="inlineStr">
        <is>
          <t>华北</t>
        </is>
      </c>
      <c r="C286" s="19" t="inlineStr">
        <is>
          <t>Epsilon</t>
        </is>
      </c>
      <c r="D286" s="24" t="n">
        <v>887</v>
      </c>
      <c r="E286" s="24">
        <f>INDEX(Assumptions!$E$4:$E$8,MATCH($C286,Assumptions!$D$4:$D$8,0))*(1+Assumptions!$B$10)^((YEAR($A286)-2024))*(1-Assumptions!$B$12)</f>
        <v/>
      </c>
      <c r="F286" s="24">
        <f>D286*E286</f>
        <v/>
      </c>
    </row>
    <row r="287" ht="15" customHeight="1" s="20">
      <c r="A287" s="22" t="n">
        <v>45870</v>
      </c>
      <c r="B287" s="23" t="inlineStr">
        <is>
          <t>华东</t>
        </is>
      </c>
      <c r="C287" s="19" t="inlineStr">
        <is>
          <t>Alpha</t>
        </is>
      </c>
      <c r="D287" s="24" t="n">
        <v>2031</v>
      </c>
      <c r="E287" s="24">
        <f>INDEX(Assumptions!$E$4:$E$8,MATCH($C287,Assumptions!$D$4:$D$8,0))*(1+Assumptions!$B$10)^((YEAR($A287)-2024))*(1-Assumptions!$B$12)</f>
        <v/>
      </c>
      <c r="F287" s="24">
        <f>D287*E287</f>
        <v/>
      </c>
    </row>
    <row r="288" ht="15" customHeight="1" s="20">
      <c r="A288" s="22" t="n">
        <v>45870</v>
      </c>
      <c r="B288" s="23" t="inlineStr">
        <is>
          <t>华东</t>
        </is>
      </c>
      <c r="C288" s="19" t="inlineStr">
        <is>
          <t>Beta</t>
        </is>
      </c>
      <c r="D288" s="24" t="n">
        <v>1799</v>
      </c>
      <c r="E288" s="24">
        <f>INDEX(Assumptions!$E$4:$E$8,MATCH($C288,Assumptions!$D$4:$D$8,0))*(1+Assumptions!$B$10)^((YEAR($A288)-2024))*(1-Assumptions!$B$12)</f>
        <v/>
      </c>
      <c r="F288" s="24">
        <f>D288*E288</f>
        <v/>
      </c>
    </row>
    <row r="289" ht="15" customHeight="1" s="20">
      <c r="A289" s="22" t="n">
        <v>45870</v>
      </c>
      <c r="B289" s="23" t="inlineStr">
        <is>
          <t>华东</t>
        </is>
      </c>
      <c r="C289" s="19" t="inlineStr">
        <is>
          <t>Gamma</t>
        </is>
      </c>
      <c r="D289" s="24" t="n">
        <v>1351</v>
      </c>
      <c r="E289" s="24">
        <f>INDEX(Assumptions!$E$4:$E$8,MATCH($C289,Assumptions!$D$4:$D$8,0))*(1+Assumptions!$B$10)^((YEAR($A289)-2024))*(1-Assumptions!$B$12)</f>
        <v/>
      </c>
      <c r="F289" s="24">
        <f>D289*E289</f>
        <v/>
      </c>
    </row>
    <row r="290" ht="15" customHeight="1" s="20">
      <c r="A290" s="22" t="n">
        <v>45870</v>
      </c>
      <c r="B290" s="23" t="inlineStr">
        <is>
          <t>华东</t>
        </is>
      </c>
      <c r="C290" s="19" t="inlineStr">
        <is>
          <t>Delta</t>
        </is>
      </c>
      <c r="D290" s="24" t="n">
        <v>1238</v>
      </c>
      <c r="E290" s="24">
        <f>INDEX(Assumptions!$E$4:$E$8,MATCH($C290,Assumptions!$D$4:$D$8,0))*(1+Assumptions!$B$10)^((YEAR($A290)-2024))*(1-Assumptions!$B$12)</f>
        <v/>
      </c>
      <c r="F290" s="24">
        <f>D290*E290</f>
        <v/>
      </c>
    </row>
    <row r="291" ht="15" customHeight="1" s="20">
      <c r="A291" s="22" t="n">
        <v>45870</v>
      </c>
      <c r="B291" s="23" t="inlineStr">
        <is>
          <t>华东</t>
        </is>
      </c>
      <c r="C291" s="19" t="inlineStr">
        <is>
          <t>Epsilon</t>
        </is>
      </c>
      <c r="D291" s="24" t="n">
        <v>929</v>
      </c>
      <c r="E291" s="24">
        <f>INDEX(Assumptions!$E$4:$E$8,MATCH($C291,Assumptions!$D$4:$D$8,0))*(1+Assumptions!$B$10)^((YEAR($A291)-2024))*(1-Assumptions!$B$12)</f>
        <v/>
      </c>
      <c r="F291" s="24">
        <f>D291*E291</f>
        <v/>
      </c>
    </row>
    <row r="292" ht="15" customHeight="1" s="20">
      <c r="A292" s="22" t="n">
        <v>45870</v>
      </c>
      <c r="B292" s="23" t="inlineStr">
        <is>
          <t>华南</t>
        </is>
      </c>
      <c r="C292" s="19" t="inlineStr">
        <is>
          <t>Alpha</t>
        </is>
      </c>
      <c r="D292" s="24" t="n">
        <v>1340</v>
      </c>
      <c r="E292" s="24">
        <f>INDEX(Assumptions!$E$4:$E$8,MATCH($C292,Assumptions!$D$4:$D$8,0))*(1+Assumptions!$B$10)^((YEAR($A292)-2024))*(1-Assumptions!$B$12)</f>
        <v/>
      </c>
      <c r="F292" s="24">
        <f>D292*E292</f>
        <v/>
      </c>
    </row>
    <row r="293" ht="15" customHeight="1" s="20">
      <c r="A293" s="22" t="n">
        <v>45870</v>
      </c>
      <c r="B293" s="23" t="inlineStr">
        <is>
          <t>华南</t>
        </is>
      </c>
      <c r="C293" s="19" t="inlineStr">
        <is>
          <t>Beta</t>
        </is>
      </c>
      <c r="D293" s="24" t="n">
        <v>1532</v>
      </c>
      <c r="E293" s="24">
        <f>INDEX(Assumptions!$E$4:$E$8,MATCH($C293,Assumptions!$D$4:$D$8,0))*(1+Assumptions!$B$10)^((YEAR($A293)-2024))*(1-Assumptions!$B$12)</f>
        <v/>
      </c>
      <c r="F293" s="24">
        <f>D293*E293</f>
        <v/>
      </c>
    </row>
    <row r="294" ht="15" customHeight="1" s="20">
      <c r="A294" s="22" t="n">
        <v>45870</v>
      </c>
      <c r="B294" s="23" t="inlineStr">
        <is>
          <t>华南</t>
        </is>
      </c>
      <c r="C294" s="19" t="inlineStr">
        <is>
          <t>Gamma</t>
        </is>
      </c>
      <c r="D294" s="24" t="n">
        <v>1393</v>
      </c>
      <c r="E294" s="24">
        <f>INDEX(Assumptions!$E$4:$E$8,MATCH($C294,Assumptions!$D$4:$D$8,0))*(1+Assumptions!$B$10)^((YEAR($A294)-2024))*(1-Assumptions!$B$12)</f>
        <v/>
      </c>
      <c r="F294" s="24">
        <f>D294*E294</f>
        <v/>
      </c>
    </row>
    <row r="295" ht="15" customHeight="1" s="20">
      <c r="A295" s="22" t="n">
        <v>45870</v>
      </c>
      <c r="B295" s="23" t="inlineStr">
        <is>
          <t>华南</t>
        </is>
      </c>
      <c r="C295" s="19" t="inlineStr">
        <is>
          <t>Delta</t>
        </is>
      </c>
      <c r="D295" s="24" t="n">
        <v>1023</v>
      </c>
      <c r="E295" s="24">
        <f>INDEX(Assumptions!$E$4:$E$8,MATCH($C295,Assumptions!$D$4:$D$8,0))*(1+Assumptions!$B$10)^((YEAR($A295)-2024))*(1-Assumptions!$B$12)</f>
        <v/>
      </c>
      <c r="F295" s="24">
        <f>D295*E295</f>
        <v/>
      </c>
    </row>
    <row r="296" ht="15" customHeight="1" s="20">
      <c r="A296" s="22" t="n">
        <v>45870</v>
      </c>
      <c r="B296" s="23" t="inlineStr">
        <is>
          <t>华南</t>
        </is>
      </c>
      <c r="C296" s="19" t="inlineStr">
        <is>
          <t>Epsilon</t>
        </is>
      </c>
      <c r="D296" s="24" t="n">
        <v>928</v>
      </c>
      <c r="E296" s="24">
        <f>INDEX(Assumptions!$E$4:$E$8,MATCH($C296,Assumptions!$D$4:$D$8,0))*(1+Assumptions!$B$10)^((YEAR($A296)-2024))*(1-Assumptions!$B$12)</f>
        <v/>
      </c>
      <c r="F296" s="24">
        <f>D296*E296</f>
        <v/>
      </c>
    </row>
    <row r="297" ht="15" customHeight="1" s="20">
      <c r="A297" s="22" t="n">
        <v>45870</v>
      </c>
      <c r="B297" s="23" t="inlineStr">
        <is>
          <t>华北</t>
        </is>
      </c>
      <c r="C297" s="19" t="inlineStr">
        <is>
          <t>Alpha</t>
        </is>
      </c>
      <c r="D297" s="24" t="n">
        <v>1439</v>
      </c>
      <c r="E297" s="24">
        <f>INDEX(Assumptions!$E$4:$E$8,MATCH($C297,Assumptions!$D$4:$D$8,0))*(1+Assumptions!$B$10)^((YEAR($A297)-2024))*(1-Assumptions!$B$12)</f>
        <v/>
      </c>
      <c r="F297" s="24">
        <f>D297*E297</f>
        <v/>
      </c>
    </row>
    <row r="298" ht="15" customHeight="1" s="20">
      <c r="A298" s="22" t="n">
        <v>45870</v>
      </c>
      <c r="B298" s="23" t="inlineStr">
        <is>
          <t>华北</t>
        </is>
      </c>
      <c r="C298" s="19" t="inlineStr">
        <is>
          <t>Beta</t>
        </is>
      </c>
      <c r="D298" s="24" t="n">
        <v>1248</v>
      </c>
      <c r="E298" s="24">
        <f>INDEX(Assumptions!$E$4:$E$8,MATCH($C298,Assumptions!$D$4:$D$8,0))*(1+Assumptions!$B$10)^((YEAR($A298)-2024))*(1-Assumptions!$B$12)</f>
        <v/>
      </c>
      <c r="F298" s="24">
        <f>D298*E298</f>
        <v/>
      </c>
    </row>
    <row r="299" ht="15" customHeight="1" s="20">
      <c r="A299" s="22" t="n">
        <v>45870</v>
      </c>
      <c r="B299" s="23" t="inlineStr">
        <is>
          <t>华北</t>
        </is>
      </c>
      <c r="C299" s="19" t="inlineStr">
        <is>
          <t>Gamma</t>
        </is>
      </c>
      <c r="D299" s="24" t="n">
        <v>1027</v>
      </c>
      <c r="E299" s="24">
        <f>INDEX(Assumptions!$E$4:$E$8,MATCH($C299,Assumptions!$D$4:$D$8,0))*(1+Assumptions!$B$10)^((YEAR($A299)-2024))*(1-Assumptions!$B$12)</f>
        <v/>
      </c>
      <c r="F299" s="24">
        <f>D299*E299</f>
        <v/>
      </c>
    </row>
    <row r="300" ht="15" customHeight="1" s="20">
      <c r="A300" s="22" t="n">
        <v>45870</v>
      </c>
      <c r="B300" s="23" t="inlineStr">
        <is>
          <t>华北</t>
        </is>
      </c>
      <c r="C300" s="19" t="inlineStr">
        <is>
          <t>Delta</t>
        </is>
      </c>
      <c r="D300" s="24" t="n">
        <v>865</v>
      </c>
      <c r="E300" s="24">
        <f>INDEX(Assumptions!$E$4:$E$8,MATCH($C300,Assumptions!$D$4:$D$8,0))*(1+Assumptions!$B$10)^((YEAR($A300)-2024))*(1-Assumptions!$B$12)</f>
        <v/>
      </c>
      <c r="F300" s="24">
        <f>D300*E300</f>
        <v/>
      </c>
    </row>
    <row r="301" ht="15" customHeight="1" s="20">
      <c r="A301" s="22" t="n">
        <v>45870</v>
      </c>
      <c r="B301" s="23" t="inlineStr">
        <is>
          <t>华北</t>
        </is>
      </c>
      <c r="C301" s="19" t="inlineStr">
        <is>
          <t>Epsilon</t>
        </is>
      </c>
      <c r="D301" s="24" t="n">
        <v>869</v>
      </c>
      <c r="E301" s="24">
        <f>INDEX(Assumptions!$E$4:$E$8,MATCH($C301,Assumptions!$D$4:$D$8,0))*(1+Assumptions!$B$10)^((YEAR($A301)-2024))*(1-Assumptions!$B$12)</f>
        <v/>
      </c>
      <c r="F301" s="24">
        <f>D301*E301</f>
        <v/>
      </c>
    </row>
    <row r="302" ht="15" customHeight="1" s="20">
      <c r="A302" s="22" t="n">
        <v>45931</v>
      </c>
      <c r="B302" s="23" t="inlineStr">
        <is>
          <t>华东</t>
        </is>
      </c>
      <c r="C302" s="19" t="inlineStr">
        <is>
          <t>Alpha</t>
        </is>
      </c>
      <c r="D302" s="24" t="n">
        <v>1818</v>
      </c>
      <c r="E302" s="24">
        <f>INDEX(Assumptions!$E$4:$E$8,MATCH($C302,Assumptions!$D$4:$D$8,0))*(1+Assumptions!$B$10)^((YEAR($A302)-2024))*(1-Assumptions!$B$12)</f>
        <v/>
      </c>
      <c r="F302" s="24">
        <f>D302*E302</f>
        <v/>
      </c>
    </row>
    <row r="303" ht="15" customHeight="1" s="20">
      <c r="A303" s="22" t="n">
        <v>45931</v>
      </c>
      <c r="B303" s="23" t="inlineStr">
        <is>
          <t>华东</t>
        </is>
      </c>
      <c r="C303" s="19" t="inlineStr">
        <is>
          <t>Beta</t>
        </is>
      </c>
      <c r="D303" s="24" t="n">
        <v>1479</v>
      </c>
      <c r="E303" s="24">
        <f>INDEX(Assumptions!$E$4:$E$8,MATCH($C303,Assumptions!$D$4:$D$8,0))*(1+Assumptions!$B$10)^((YEAR($A303)-2024))*(1-Assumptions!$B$12)</f>
        <v/>
      </c>
      <c r="F303" s="24">
        <f>D303*E303</f>
        <v/>
      </c>
    </row>
    <row r="304" ht="15" customHeight="1" s="20">
      <c r="A304" s="22" t="n">
        <v>45931</v>
      </c>
      <c r="B304" s="23" t="inlineStr">
        <is>
          <t>华东</t>
        </is>
      </c>
      <c r="C304" s="19" t="inlineStr">
        <is>
          <t>Gamma</t>
        </is>
      </c>
      <c r="D304" s="24" t="n">
        <v>1516</v>
      </c>
      <c r="E304" s="24">
        <f>INDEX(Assumptions!$E$4:$E$8,MATCH($C304,Assumptions!$D$4:$D$8,0))*(1+Assumptions!$B$10)^((YEAR($A304)-2024))*(1-Assumptions!$B$12)</f>
        <v/>
      </c>
      <c r="F304" s="24">
        <f>D304*E304</f>
        <v/>
      </c>
    </row>
    <row r="305" ht="15" customHeight="1" s="20">
      <c r="A305" s="22" t="n">
        <v>45931</v>
      </c>
      <c r="B305" s="23" t="inlineStr">
        <is>
          <t>华东</t>
        </is>
      </c>
      <c r="C305" s="19" t="inlineStr">
        <is>
          <t>Delta</t>
        </is>
      </c>
      <c r="D305" s="24" t="n">
        <v>1163</v>
      </c>
      <c r="E305" s="24">
        <f>INDEX(Assumptions!$E$4:$E$8,MATCH($C305,Assumptions!$D$4:$D$8,0))*(1+Assumptions!$B$10)^((YEAR($A305)-2024))*(1-Assumptions!$B$12)</f>
        <v/>
      </c>
      <c r="F305" s="24">
        <f>D305*E305</f>
        <v/>
      </c>
    </row>
    <row r="306" ht="15" customHeight="1" s="20">
      <c r="A306" s="22" t="n">
        <v>45931</v>
      </c>
      <c r="B306" s="23" t="inlineStr">
        <is>
          <t>华东</t>
        </is>
      </c>
      <c r="C306" s="19" t="inlineStr">
        <is>
          <t>Epsilon</t>
        </is>
      </c>
      <c r="D306" s="24" t="n">
        <v>797</v>
      </c>
      <c r="E306" s="24">
        <f>INDEX(Assumptions!$E$4:$E$8,MATCH($C306,Assumptions!$D$4:$D$8,0))*(1+Assumptions!$B$10)^((YEAR($A306)-2024))*(1-Assumptions!$B$12)</f>
        <v/>
      </c>
      <c r="F306" s="24">
        <f>D306*E306</f>
        <v/>
      </c>
    </row>
    <row r="307" ht="15" customHeight="1" s="20">
      <c r="A307" s="22" t="n">
        <v>45931</v>
      </c>
      <c r="B307" s="23" t="inlineStr">
        <is>
          <t>华南</t>
        </is>
      </c>
      <c r="C307" s="19" t="inlineStr">
        <is>
          <t>Alpha</t>
        </is>
      </c>
      <c r="D307" s="24" t="n">
        <v>1252</v>
      </c>
      <c r="E307" s="24">
        <f>INDEX(Assumptions!$E$4:$E$8,MATCH($C307,Assumptions!$D$4:$D$8,0))*(1+Assumptions!$B$10)^((YEAR($A307)-2024))*(1-Assumptions!$B$12)</f>
        <v/>
      </c>
      <c r="F307" s="24">
        <f>D307*E307</f>
        <v/>
      </c>
    </row>
    <row r="308" ht="15" customHeight="1" s="20">
      <c r="A308" s="22" t="n">
        <v>45931</v>
      </c>
      <c r="B308" s="23" t="inlineStr">
        <is>
          <t>华南</t>
        </is>
      </c>
      <c r="C308" s="19" t="inlineStr">
        <is>
          <t>Beta</t>
        </is>
      </c>
      <c r="D308" s="24" t="n">
        <v>1196</v>
      </c>
      <c r="E308" s="24">
        <f>INDEX(Assumptions!$E$4:$E$8,MATCH($C308,Assumptions!$D$4:$D$8,0))*(1+Assumptions!$B$10)^((YEAR($A308)-2024))*(1-Assumptions!$B$12)</f>
        <v/>
      </c>
      <c r="F308" s="24">
        <f>D308*E308</f>
        <v/>
      </c>
    </row>
    <row r="309" ht="15" customHeight="1" s="20">
      <c r="A309" s="22" t="n">
        <v>45931</v>
      </c>
      <c r="B309" s="23" t="inlineStr">
        <is>
          <t>华南</t>
        </is>
      </c>
      <c r="C309" s="19" t="inlineStr">
        <is>
          <t>Gamma</t>
        </is>
      </c>
      <c r="D309" s="24" t="n">
        <v>1342</v>
      </c>
      <c r="E309" s="24">
        <f>INDEX(Assumptions!$E$4:$E$8,MATCH($C309,Assumptions!$D$4:$D$8,0))*(1+Assumptions!$B$10)^((YEAR($A309)-2024))*(1-Assumptions!$B$12)</f>
        <v/>
      </c>
      <c r="F309" s="24">
        <f>D309*E309</f>
        <v/>
      </c>
    </row>
    <row r="310" ht="15" customHeight="1" s="20">
      <c r="A310" s="22" t="n">
        <v>45931</v>
      </c>
      <c r="B310" s="23" t="inlineStr">
        <is>
          <t>华南</t>
        </is>
      </c>
      <c r="C310" s="19" t="inlineStr">
        <is>
          <t>Delta</t>
        </is>
      </c>
      <c r="D310" s="24" t="n">
        <v>1074</v>
      </c>
      <c r="E310" s="24">
        <f>INDEX(Assumptions!$E$4:$E$8,MATCH($C310,Assumptions!$D$4:$D$8,0))*(1+Assumptions!$B$10)^((YEAR($A310)-2024))*(1-Assumptions!$B$12)</f>
        <v/>
      </c>
      <c r="F310" s="24">
        <f>D310*E310</f>
        <v/>
      </c>
    </row>
    <row r="311" ht="15" customHeight="1" s="20">
      <c r="A311" s="22" t="n">
        <v>45931</v>
      </c>
      <c r="B311" s="23" t="inlineStr">
        <is>
          <t>华南</t>
        </is>
      </c>
      <c r="C311" s="19" t="inlineStr">
        <is>
          <t>Epsilon</t>
        </is>
      </c>
      <c r="D311" s="24" t="n">
        <v>859</v>
      </c>
      <c r="E311" s="24">
        <f>INDEX(Assumptions!$E$4:$E$8,MATCH($C311,Assumptions!$D$4:$D$8,0))*(1+Assumptions!$B$10)^((YEAR($A311)-2024))*(1-Assumptions!$B$12)</f>
        <v/>
      </c>
      <c r="F311" s="24">
        <f>D311*E311</f>
        <v/>
      </c>
    </row>
    <row r="312" ht="15" customHeight="1" s="20">
      <c r="A312" s="22" t="n">
        <v>45931</v>
      </c>
      <c r="B312" s="23" t="inlineStr">
        <is>
          <t>华北</t>
        </is>
      </c>
      <c r="C312" s="19" t="inlineStr">
        <is>
          <t>Alpha</t>
        </is>
      </c>
      <c r="D312" s="24" t="n">
        <v>1421</v>
      </c>
      <c r="E312" s="24">
        <f>INDEX(Assumptions!$E$4:$E$8,MATCH($C312,Assumptions!$D$4:$D$8,0))*(1+Assumptions!$B$10)^((YEAR($A312)-2024))*(1-Assumptions!$B$12)</f>
        <v/>
      </c>
      <c r="F312" s="24">
        <f>D312*E312</f>
        <v/>
      </c>
    </row>
    <row r="313" ht="15" customHeight="1" s="20">
      <c r="A313" s="22" t="n">
        <v>45931</v>
      </c>
      <c r="B313" s="23" t="inlineStr">
        <is>
          <t>华北</t>
        </is>
      </c>
      <c r="C313" s="19" t="inlineStr">
        <is>
          <t>Beta</t>
        </is>
      </c>
      <c r="D313" s="24" t="n">
        <v>1042</v>
      </c>
      <c r="E313" s="24">
        <f>INDEX(Assumptions!$E$4:$E$8,MATCH($C313,Assumptions!$D$4:$D$8,0))*(1+Assumptions!$B$10)^((YEAR($A313)-2024))*(1-Assumptions!$B$12)</f>
        <v/>
      </c>
      <c r="F313" s="24">
        <f>D313*E313</f>
        <v/>
      </c>
    </row>
    <row r="314" ht="15" customHeight="1" s="20">
      <c r="A314" s="22" t="n">
        <v>45931</v>
      </c>
      <c r="B314" s="23" t="inlineStr">
        <is>
          <t>华北</t>
        </is>
      </c>
      <c r="C314" s="19" t="inlineStr">
        <is>
          <t>Gamma</t>
        </is>
      </c>
      <c r="D314" s="24" t="n">
        <v>997</v>
      </c>
      <c r="E314" s="24">
        <f>INDEX(Assumptions!$E$4:$E$8,MATCH($C314,Assumptions!$D$4:$D$8,0))*(1+Assumptions!$B$10)^((YEAR($A314)-2024))*(1-Assumptions!$B$12)</f>
        <v/>
      </c>
      <c r="F314" s="24">
        <f>D314*E314</f>
        <v/>
      </c>
    </row>
    <row r="315" ht="15" customHeight="1" s="20">
      <c r="A315" s="22" t="n">
        <v>45931</v>
      </c>
      <c r="B315" s="23" t="inlineStr">
        <is>
          <t>华北</t>
        </is>
      </c>
      <c r="C315" s="19" t="inlineStr">
        <is>
          <t>Delta</t>
        </is>
      </c>
      <c r="D315" s="24" t="n">
        <v>782</v>
      </c>
      <c r="E315" s="24">
        <f>INDEX(Assumptions!$E$4:$E$8,MATCH($C315,Assumptions!$D$4:$D$8,0))*(1+Assumptions!$B$10)^((YEAR($A315)-2024))*(1-Assumptions!$B$12)</f>
        <v/>
      </c>
      <c r="F315" s="24">
        <f>D315*E315</f>
        <v/>
      </c>
    </row>
    <row r="316" ht="15" customHeight="1" s="20">
      <c r="A316" s="22" t="n">
        <v>45931</v>
      </c>
      <c r="B316" s="23" t="inlineStr">
        <is>
          <t>华北</t>
        </is>
      </c>
      <c r="C316" s="19" t="inlineStr">
        <is>
          <t>Epsilon</t>
        </is>
      </c>
      <c r="D316" s="24" t="n">
        <v>756</v>
      </c>
      <c r="E316" s="24">
        <f>INDEX(Assumptions!$E$4:$E$8,MATCH($C316,Assumptions!$D$4:$D$8,0))*(1+Assumptions!$B$10)^((YEAR($A316)-2024))*(1-Assumptions!$B$12)</f>
        <v/>
      </c>
      <c r="F316" s="24">
        <f>D316*E316</f>
        <v/>
      </c>
    </row>
    <row r="317" ht="15" customHeight="1" s="20">
      <c r="A317" s="22" t="n">
        <v>45962</v>
      </c>
      <c r="B317" s="23" t="inlineStr">
        <is>
          <t>华东</t>
        </is>
      </c>
      <c r="C317" s="19" t="inlineStr">
        <is>
          <t>Alpha</t>
        </is>
      </c>
      <c r="D317" s="24" t="n">
        <v>1731</v>
      </c>
      <c r="E317" s="24">
        <f>INDEX(Assumptions!$E$4:$E$8,MATCH($C317,Assumptions!$D$4:$D$8,0))*(1+Assumptions!$B$10)^((YEAR($A317)-2024))*(1-Assumptions!$B$12)</f>
        <v/>
      </c>
      <c r="F317" s="24">
        <f>D317*E317</f>
        <v/>
      </c>
    </row>
    <row r="318" ht="15" customHeight="1" s="20">
      <c r="A318" s="22" t="n">
        <v>45962</v>
      </c>
      <c r="B318" s="23" t="inlineStr">
        <is>
          <t>华东</t>
        </is>
      </c>
      <c r="C318" s="19" t="inlineStr">
        <is>
          <t>Beta</t>
        </is>
      </c>
      <c r="D318" s="24" t="n">
        <v>1358</v>
      </c>
      <c r="E318" s="24">
        <f>INDEX(Assumptions!$E$4:$E$8,MATCH($C318,Assumptions!$D$4:$D$8,0))*(1+Assumptions!$B$10)^((YEAR($A318)-2024))*(1-Assumptions!$B$12)</f>
        <v/>
      </c>
      <c r="F318" s="24">
        <f>D318*E318</f>
        <v/>
      </c>
    </row>
    <row r="319" ht="15" customHeight="1" s="20">
      <c r="A319" s="22" t="n">
        <v>45962</v>
      </c>
      <c r="B319" s="23" t="inlineStr">
        <is>
          <t>华东</t>
        </is>
      </c>
      <c r="C319" s="19" t="inlineStr">
        <is>
          <t>Gamma</t>
        </is>
      </c>
      <c r="D319" s="24" t="n">
        <v>1367</v>
      </c>
      <c r="E319" s="24">
        <f>INDEX(Assumptions!$E$4:$E$8,MATCH($C319,Assumptions!$D$4:$D$8,0))*(1+Assumptions!$B$10)^((YEAR($A319)-2024))*(1-Assumptions!$B$12)</f>
        <v/>
      </c>
      <c r="F319" s="24">
        <f>D319*E319</f>
        <v/>
      </c>
    </row>
    <row r="320" ht="15" customHeight="1" s="20">
      <c r="A320" s="22" t="n">
        <v>45962</v>
      </c>
      <c r="B320" s="23" t="inlineStr">
        <is>
          <t>华东</t>
        </is>
      </c>
      <c r="C320" s="19" t="inlineStr">
        <is>
          <t>Delta</t>
        </is>
      </c>
      <c r="D320" s="24" t="n">
        <v>974</v>
      </c>
      <c r="E320" s="24">
        <f>INDEX(Assumptions!$E$4:$E$8,MATCH($C320,Assumptions!$D$4:$D$8,0))*(1+Assumptions!$B$10)^((YEAR($A320)-2024))*(1-Assumptions!$B$12)</f>
        <v/>
      </c>
      <c r="F320" s="24">
        <f>D320*E320</f>
        <v/>
      </c>
    </row>
    <row r="321" ht="15" customHeight="1" s="20">
      <c r="A321" s="22" t="n">
        <v>45962</v>
      </c>
      <c r="B321" s="23" t="inlineStr">
        <is>
          <t>华东</t>
        </is>
      </c>
      <c r="C321" s="19" t="inlineStr">
        <is>
          <t>Epsilon</t>
        </is>
      </c>
      <c r="D321" s="24" t="n">
        <v>963</v>
      </c>
      <c r="E321" s="24">
        <f>INDEX(Assumptions!$E$4:$E$8,MATCH($C321,Assumptions!$D$4:$D$8,0))*(1+Assumptions!$B$10)^((YEAR($A321)-2024))*(1-Assumptions!$B$12)</f>
        <v/>
      </c>
      <c r="F321" s="24">
        <f>D321*E321</f>
        <v/>
      </c>
    </row>
    <row r="322" ht="15" customHeight="1" s="20">
      <c r="A322" s="22" t="n">
        <v>45962</v>
      </c>
      <c r="B322" s="23" t="inlineStr">
        <is>
          <t>华南</t>
        </is>
      </c>
      <c r="C322" s="19" t="inlineStr">
        <is>
          <t>Alpha</t>
        </is>
      </c>
      <c r="D322" s="24" t="n">
        <v>1497</v>
      </c>
      <c r="E322" s="24">
        <f>INDEX(Assumptions!$E$4:$E$8,MATCH($C322,Assumptions!$D$4:$D$8,0))*(1+Assumptions!$B$10)^((YEAR($A322)-2024))*(1-Assumptions!$B$12)</f>
        <v/>
      </c>
      <c r="F322" s="24">
        <f>D322*E322</f>
        <v/>
      </c>
    </row>
    <row r="323" ht="15" customHeight="1" s="20">
      <c r="A323" s="22" t="n">
        <v>45962</v>
      </c>
      <c r="B323" s="23" t="inlineStr">
        <is>
          <t>华南</t>
        </is>
      </c>
      <c r="C323" s="19" t="inlineStr">
        <is>
          <t>Beta</t>
        </is>
      </c>
      <c r="D323" s="24" t="n">
        <v>1388</v>
      </c>
      <c r="E323" s="24">
        <f>INDEX(Assumptions!$E$4:$E$8,MATCH($C323,Assumptions!$D$4:$D$8,0))*(1+Assumptions!$B$10)^((YEAR($A323)-2024))*(1-Assumptions!$B$12)</f>
        <v/>
      </c>
      <c r="F323" s="24">
        <f>D323*E323</f>
        <v/>
      </c>
    </row>
    <row r="324" ht="15" customHeight="1" s="20">
      <c r="A324" s="22" t="n">
        <v>45962</v>
      </c>
      <c r="B324" s="23" t="inlineStr">
        <is>
          <t>华南</t>
        </is>
      </c>
      <c r="C324" s="19" t="inlineStr">
        <is>
          <t>Gamma</t>
        </is>
      </c>
      <c r="D324" s="24" t="n">
        <v>1254</v>
      </c>
      <c r="E324" s="24">
        <f>INDEX(Assumptions!$E$4:$E$8,MATCH($C324,Assumptions!$D$4:$D$8,0))*(1+Assumptions!$B$10)^((YEAR($A324)-2024))*(1-Assumptions!$B$12)</f>
        <v/>
      </c>
      <c r="F324" s="24">
        <f>D324*E324</f>
        <v/>
      </c>
    </row>
    <row r="325" ht="15" customHeight="1" s="20">
      <c r="A325" s="22" t="n">
        <v>45962</v>
      </c>
      <c r="B325" s="23" t="inlineStr">
        <is>
          <t>华南</t>
        </is>
      </c>
      <c r="C325" s="19" t="inlineStr">
        <is>
          <t>Delta</t>
        </is>
      </c>
      <c r="D325" s="24" t="n">
        <v>1053</v>
      </c>
      <c r="E325" s="24">
        <f>INDEX(Assumptions!$E$4:$E$8,MATCH($C325,Assumptions!$D$4:$D$8,0))*(1+Assumptions!$B$10)^((YEAR($A325)-2024))*(1-Assumptions!$B$12)</f>
        <v/>
      </c>
      <c r="F325" s="24">
        <f>D325*E325</f>
        <v/>
      </c>
    </row>
    <row r="326" ht="15" customHeight="1" s="20">
      <c r="A326" s="22" t="n">
        <v>45962</v>
      </c>
      <c r="B326" s="23" t="inlineStr">
        <is>
          <t>华南</t>
        </is>
      </c>
      <c r="C326" s="19" t="inlineStr">
        <is>
          <t>Epsilon</t>
        </is>
      </c>
      <c r="D326" s="24" t="n">
        <v>636</v>
      </c>
      <c r="E326" s="24">
        <f>INDEX(Assumptions!$E$4:$E$8,MATCH($C326,Assumptions!$D$4:$D$8,0))*(1+Assumptions!$B$10)^((YEAR($A326)-2024))*(1-Assumptions!$B$12)</f>
        <v/>
      </c>
      <c r="F326" s="24">
        <f>D326*E326</f>
        <v/>
      </c>
    </row>
    <row r="327" ht="15" customHeight="1" s="20">
      <c r="A327" s="22" t="n">
        <v>45962</v>
      </c>
      <c r="B327" s="23" t="inlineStr">
        <is>
          <t>华北</t>
        </is>
      </c>
      <c r="C327" s="19" t="inlineStr">
        <is>
          <t>Alpha</t>
        </is>
      </c>
      <c r="D327" s="24" t="n">
        <v>1301</v>
      </c>
      <c r="E327" s="24">
        <f>INDEX(Assumptions!$E$4:$E$8,MATCH($C327,Assumptions!$D$4:$D$8,0))*(1+Assumptions!$B$10)^((YEAR($A327)-2024))*(1-Assumptions!$B$12)</f>
        <v/>
      </c>
      <c r="F327" s="24">
        <f>D327*E327</f>
        <v/>
      </c>
    </row>
    <row r="328" ht="15" customHeight="1" s="20">
      <c r="A328" s="22" t="n">
        <v>45962</v>
      </c>
      <c r="B328" s="23" t="inlineStr">
        <is>
          <t>华北</t>
        </is>
      </c>
      <c r="C328" s="19" t="inlineStr">
        <is>
          <t>Beta</t>
        </is>
      </c>
      <c r="D328" s="24" t="n">
        <v>1038</v>
      </c>
      <c r="E328" s="24">
        <f>INDEX(Assumptions!$E$4:$E$8,MATCH($C328,Assumptions!$D$4:$D$8,0))*(1+Assumptions!$B$10)^((YEAR($A328)-2024))*(1-Assumptions!$B$12)</f>
        <v/>
      </c>
      <c r="F328" s="24">
        <f>D328*E328</f>
        <v/>
      </c>
    </row>
    <row r="329" ht="15" customHeight="1" s="20">
      <c r="A329" s="22" t="n">
        <v>45962</v>
      </c>
      <c r="B329" s="23" t="inlineStr">
        <is>
          <t>华北</t>
        </is>
      </c>
      <c r="C329" s="19" t="inlineStr">
        <is>
          <t>Gamma</t>
        </is>
      </c>
      <c r="D329" s="24" t="n">
        <v>1166</v>
      </c>
      <c r="E329" s="24">
        <f>INDEX(Assumptions!$E$4:$E$8,MATCH($C329,Assumptions!$D$4:$D$8,0))*(1+Assumptions!$B$10)^((YEAR($A329)-2024))*(1-Assumptions!$B$12)</f>
        <v/>
      </c>
      <c r="F329" s="24">
        <f>D329*E329</f>
        <v/>
      </c>
    </row>
    <row r="330" ht="15" customHeight="1" s="20">
      <c r="A330" s="22" t="n">
        <v>45962</v>
      </c>
      <c r="B330" s="23" t="inlineStr">
        <is>
          <t>华北</t>
        </is>
      </c>
      <c r="C330" s="19" t="inlineStr">
        <is>
          <t>Delta</t>
        </is>
      </c>
      <c r="D330" s="24" t="n">
        <v>927</v>
      </c>
      <c r="E330" s="24">
        <f>INDEX(Assumptions!$E$4:$E$8,MATCH($C330,Assumptions!$D$4:$D$8,0))*(1+Assumptions!$B$10)^((YEAR($A330)-2024))*(1-Assumptions!$B$12)</f>
        <v/>
      </c>
      <c r="F330" s="24">
        <f>D330*E330</f>
        <v/>
      </c>
    </row>
    <row r="331" ht="15" customHeight="1" s="20">
      <c r="A331" s="22" t="n">
        <v>45962</v>
      </c>
      <c r="B331" s="23" t="inlineStr">
        <is>
          <t>华北</t>
        </is>
      </c>
      <c r="C331" s="19" t="inlineStr">
        <is>
          <t>Epsilon</t>
        </is>
      </c>
      <c r="D331" s="24" t="n">
        <v>741</v>
      </c>
      <c r="E331" s="24">
        <f>INDEX(Assumptions!$E$4:$E$8,MATCH($C331,Assumptions!$D$4:$D$8,0))*(1+Assumptions!$B$10)^((YEAR($A331)-2024))*(1-Assumptions!$B$12)</f>
        <v/>
      </c>
      <c r="F331" s="24">
        <f>D331*E331</f>
        <v/>
      </c>
    </row>
    <row r="332" ht="15" customHeight="1" s="20">
      <c r="A332" s="22" t="n">
        <v>45992</v>
      </c>
      <c r="B332" s="23" t="inlineStr">
        <is>
          <t>华东</t>
        </is>
      </c>
      <c r="C332" s="19" t="inlineStr">
        <is>
          <t>Alpha</t>
        </is>
      </c>
      <c r="D332" s="24" t="n">
        <v>1773</v>
      </c>
      <c r="E332" s="24">
        <f>INDEX(Assumptions!$E$4:$E$8,MATCH($C332,Assumptions!$D$4:$D$8,0))*(1+Assumptions!$B$10)^((YEAR($A332)-2024))*(1-Assumptions!$B$12)</f>
        <v/>
      </c>
      <c r="F332" s="24">
        <f>D332*E332</f>
        <v/>
      </c>
    </row>
    <row r="333" ht="15" customHeight="1" s="20">
      <c r="A333" s="22" t="n">
        <v>45992</v>
      </c>
      <c r="B333" s="23" t="inlineStr">
        <is>
          <t>华东</t>
        </is>
      </c>
      <c r="C333" s="19" t="inlineStr">
        <is>
          <t>Beta</t>
        </is>
      </c>
      <c r="D333" s="24" t="n">
        <v>1357</v>
      </c>
      <c r="E333" s="24">
        <f>INDEX(Assumptions!$E$4:$E$8,MATCH($C333,Assumptions!$D$4:$D$8,0))*(1+Assumptions!$B$10)^((YEAR($A333)-2024))*(1-Assumptions!$B$12)</f>
        <v/>
      </c>
      <c r="F333" s="24">
        <f>D333*E333</f>
        <v/>
      </c>
    </row>
    <row r="334" ht="15" customHeight="1" s="20">
      <c r="A334" s="22" t="n">
        <v>45992</v>
      </c>
      <c r="B334" s="23" t="inlineStr">
        <is>
          <t>华东</t>
        </is>
      </c>
      <c r="C334" s="19" t="inlineStr">
        <is>
          <t>Gamma</t>
        </is>
      </c>
      <c r="D334" s="24" t="n">
        <v>1497</v>
      </c>
      <c r="E334" s="24">
        <f>INDEX(Assumptions!$E$4:$E$8,MATCH($C334,Assumptions!$D$4:$D$8,0))*(1+Assumptions!$B$10)^((YEAR($A334)-2024))*(1-Assumptions!$B$12)</f>
        <v/>
      </c>
      <c r="F334" s="24">
        <f>D334*E334</f>
        <v/>
      </c>
    </row>
    <row r="335" ht="15" customHeight="1" s="20">
      <c r="A335" s="22" t="n">
        <v>45992</v>
      </c>
      <c r="B335" s="23" t="inlineStr">
        <is>
          <t>华东</t>
        </is>
      </c>
      <c r="C335" s="19" t="inlineStr">
        <is>
          <t>Delta</t>
        </is>
      </c>
      <c r="D335" s="24" t="n">
        <v>1001</v>
      </c>
      <c r="E335" s="24">
        <f>INDEX(Assumptions!$E$4:$E$8,MATCH($C335,Assumptions!$D$4:$D$8,0))*(1+Assumptions!$B$10)^((YEAR($A335)-2024))*(1-Assumptions!$B$12)</f>
        <v/>
      </c>
      <c r="F335" s="24">
        <f>D335*E335</f>
        <v/>
      </c>
    </row>
    <row r="336" ht="15" customHeight="1" s="20">
      <c r="A336" s="22" t="n">
        <v>45992</v>
      </c>
      <c r="B336" s="23" t="inlineStr">
        <is>
          <t>华东</t>
        </is>
      </c>
      <c r="C336" s="19" t="inlineStr">
        <is>
          <t>Epsilon</t>
        </is>
      </c>
      <c r="D336" s="24" t="n">
        <v>991</v>
      </c>
      <c r="E336" s="24">
        <f>INDEX(Assumptions!$E$4:$E$8,MATCH($C336,Assumptions!$D$4:$D$8,0))*(1+Assumptions!$B$10)^((YEAR($A336)-2024))*(1-Assumptions!$B$12)</f>
        <v/>
      </c>
      <c r="F336" s="24">
        <f>D336*E336</f>
        <v/>
      </c>
    </row>
    <row r="337" ht="15" customHeight="1" s="20">
      <c r="A337" s="22" t="n">
        <v>45992</v>
      </c>
      <c r="B337" s="23" t="inlineStr">
        <is>
          <t>华南</t>
        </is>
      </c>
      <c r="C337" s="19" t="inlineStr">
        <is>
          <t>Alpha</t>
        </is>
      </c>
      <c r="D337" s="24" t="n">
        <v>1562</v>
      </c>
      <c r="E337" s="24">
        <f>INDEX(Assumptions!$E$4:$E$8,MATCH($C337,Assumptions!$D$4:$D$8,0))*(1+Assumptions!$B$10)^((YEAR($A337)-2024))*(1-Assumptions!$B$12)</f>
        <v/>
      </c>
      <c r="F337" s="24">
        <f>D337*E337</f>
        <v/>
      </c>
    </row>
    <row r="338" ht="15" customHeight="1" s="20">
      <c r="A338" s="22" t="n">
        <v>45992</v>
      </c>
      <c r="B338" s="23" t="inlineStr">
        <is>
          <t>华南</t>
        </is>
      </c>
      <c r="C338" s="19" t="inlineStr">
        <is>
          <t>Beta</t>
        </is>
      </c>
      <c r="D338" s="24" t="n">
        <v>1163</v>
      </c>
      <c r="E338" s="24">
        <f>INDEX(Assumptions!$E$4:$E$8,MATCH($C338,Assumptions!$D$4:$D$8,0))*(1+Assumptions!$B$10)^((YEAR($A338)-2024))*(1-Assumptions!$B$12)</f>
        <v/>
      </c>
      <c r="F338" s="24">
        <f>D338*E338</f>
        <v/>
      </c>
    </row>
    <row r="339" ht="15" customHeight="1" s="20">
      <c r="A339" s="22" t="n">
        <v>45992</v>
      </c>
      <c r="B339" s="23" t="inlineStr">
        <is>
          <t>华南</t>
        </is>
      </c>
      <c r="C339" s="19" t="inlineStr">
        <is>
          <t>Gamma</t>
        </is>
      </c>
      <c r="D339" s="24" t="n">
        <v>1312</v>
      </c>
      <c r="E339" s="24">
        <f>INDEX(Assumptions!$E$4:$E$8,MATCH($C339,Assumptions!$D$4:$D$8,0))*(1+Assumptions!$B$10)^((YEAR($A339)-2024))*(1-Assumptions!$B$12)</f>
        <v/>
      </c>
      <c r="F339" s="24">
        <f>D339*E339</f>
        <v/>
      </c>
    </row>
    <row r="340" ht="15" customHeight="1" s="20">
      <c r="A340" s="22" t="n">
        <v>45992</v>
      </c>
      <c r="B340" s="23" t="inlineStr">
        <is>
          <t>华南</t>
        </is>
      </c>
      <c r="C340" s="19" t="inlineStr">
        <is>
          <t>Delta</t>
        </is>
      </c>
      <c r="D340" s="24" t="n">
        <v>975</v>
      </c>
      <c r="E340" s="24">
        <f>INDEX(Assumptions!$E$4:$E$8,MATCH($C340,Assumptions!$D$4:$D$8,0))*(1+Assumptions!$B$10)^((YEAR($A340)-2024))*(1-Assumptions!$B$12)</f>
        <v/>
      </c>
      <c r="F340" s="24">
        <f>D340*E340</f>
        <v/>
      </c>
    </row>
    <row r="341" ht="15" customHeight="1" s="20">
      <c r="A341" s="22" t="n">
        <v>45992</v>
      </c>
      <c r="B341" s="23" t="inlineStr">
        <is>
          <t>华南</t>
        </is>
      </c>
      <c r="C341" s="19" t="inlineStr">
        <is>
          <t>Epsilon</t>
        </is>
      </c>
      <c r="D341" s="24" t="n">
        <v>730</v>
      </c>
      <c r="E341" s="24">
        <f>INDEX(Assumptions!$E$4:$E$8,MATCH($C341,Assumptions!$D$4:$D$8,0))*(1+Assumptions!$B$10)^((YEAR($A341)-2024))*(1-Assumptions!$B$12)</f>
        <v/>
      </c>
      <c r="F341" s="24">
        <f>D341*E341</f>
        <v/>
      </c>
    </row>
    <row r="342" ht="15" customHeight="1" s="20">
      <c r="A342" s="22" t="n">
        <v>45992</v>
      </c>
      <c r="B342" s="23" t="inlineStr">
        <is>
          <t>华北</t>
        </is>
      </c>
      <c r="C342" s="19" t="inlineStr">
        <is>
          <t>Alpha</t>
        </is>
      </c>
      <c r="D342" s="24" t="n">
        <v>1381</v>
      </c>
      <c r="E342" s="24">
        <f>INDEX(Assumptions!$E$4:$E$8,MATCH($C342,Assumptions!$D$4:$D$8,0))*(1+Assumptions!$B$10)^((YEAR($A342)-2024))*(1-Assumptions!$B$12)</f>
        <v/>
      </c>
      <c r="F342" s="24">
        <f>D342*E342</f>
        <v/>
      </c>
    </row>
    <row r="343" ht="15" customHeight="1" s="20">
      <c r="A343" s="22" t="n">
        <v>45992</v>
      </c>
      <c r="B343" s="23" t="inlineStr">
        <is>
          <t>华北</t>
        </is>
      </c>
      <c r="C343" s="19" t="inlineStr">
        <is>
          <t>Beta</t>
        </is>
      </c>
      <c r="D343" s="24" t="n">
        <v>1048</v>
      </c>
      <c r="E343" s="24">
        <f>INDEX(Assumptions!$E$4:$E$8,MATCH($C343,Assumptions!$D$4:$D$8,0))*(1+Assumptions!$B$10)^((YEAR($A343)-2024))*(1-Assumptions!$B$12)</f>
        <v/>
      </c>
      <c r="F343" s="24">
        <f>D343*E343</f>
        <v/>
      </c>
    </row>
    <row r="344" ht="15" customHeight="1" s="20">
      <c r="A344" s="22" t="n">
        <v>45992</v>
      </c>
      <c r="B344" s="23" t="inlineStr">
        <is>
          <t>华北</t>
        </is>
      </c>
      <c r="C344" s="19" t="inlineStr">
        <is>
          <t>Gamma</t>
        </is>
      </c>
      <c r="D344" s="24" t="n">
        <v>924</v>
      </c>
      <c r="E344" s="24">
        <f>INDEX(Assumptions!$E$4:$E$8,MATCH($C344,Assumptions!$D$4:$D$8,0))*(1+Assumptions!$B$10)^((YEAR($A344)-2024))*(1-Assumptions!$B$12)</f>
        <v/>
      </c>
      <c r="F344" s="24">
        <f>D344*E344</f>
        <v/>
      </c>
    </row>
    <row r="345" ht="15" customHeight="1" s="20">
      <c r="A345" s="22" t="n">
        <v>45992</v>
      </c>
      <c r="B345" s="23" t="inlineStr">
        <is>
          <t>华北</t>
        </is>
      </c>
      <c r="C345" s="19" t="inlineStr">
        <is>
          <t>Delta</t>
        </is>
      </c>
      <c r="D345" s="24" t="n">
        <v>806</v>
      </c>
      <c r="E345" s="24">
        <f>INDEX(Assumptions!$E$4:$E$8,MATCH($C345,Assumptions!$D$4:$D$8,0))*(1+Assumptions!$B$10)^((YEAR($A345)-2024))*(1-Assumptions!$B$12)</f>
        <v/>
      </c>
      <c r="F345" s="24">
        <f>D345*E345</f>
        <v/>
      </c>
    </row>
    <row r="346" ht="15" customHeight="1" s="20">
      <c r="A346" s="22" t="n">
        <v>45992</v>
      </c>
      <c r="B346" s="23" t="inlineStr">
        <is>
          <t>华北</t>
        </is>
      </c>
      <c r="C346" s="19" t="inlineStr">
        <is>
          <t>Epsilon</t>
        </is>
      </c>
      <c r="D346" s="24" t="n">
        <v>662</v>
      </c>
      <c r="E346" s="24">
        <f>INDEX(Assumptions!$E$4:$E$8,MATCH($C346,Assumptions!$D$4:$D$8,0))*(1+Assumptions!$B$10)^((YEAR($A346)-2024))*(1-Assumptions!$B$12)</f>
        <v/>
      </c>
      <c r="F346" s="24">
        <f>D346*E346</f>
        <v/>
      </c>
    </row>
    <row r="347" ht="15" customHeight="1" s="20">
      <c r="A347" s="22" t="n">
        <v>46023</v>
      </c>
      <c r="B347" s="23" t="inlineStr">
        <is>
          <t>华东</t>
        </is>
      </c>
      <c r="C347" s="19" t="inlineStr">
        <is>
          <t>Alpha</t>
        </is>
      </c>
      <c r="D347" s="24" t="n">
        <v>2009</v>
      </c>
      <c r="E347" s="24">
        <f>INDEX(Assumptions!$E$4:$E$8,MATCH($C347,Assumptions!$D$4:$D$8,0))*(1+Assumptions!$B$10)^((YEAR($A347)-2024))*(1-Assumptions!$B$12)</f>
        <v/>
      </c>
      <c r="F347" s="24">
        <f>D347*E347</f>
        <v/>
      </c>
    </row>
    <row r="348" ht="15" customHeight="1" s="20">
      <c r="A348" s="22" t="n">
        <v>46023</v>
      </c>
      <c r="B348" s="23" t="inlineStr">
        <is>
          <t>华东</t>
        </is>
      </c>
      <c r="C348" s="19" t="inlineStr">
        <is>
          <t>Beta</t>
        </is>
      </c>
      <c r="D348" s="24" t="n">
        <v>1858</v>
      </c>
      <c r="E348" s="24">
        <f>INDEX(Assumptions!$E$4:$E$8,MATCH($C348,Assumptions!$D$4:$D$8,0))*(1+Assumptions!$B$10)^((YEAR($A348)-2024))*(1-Assumptions!$B$12)</f>
        <v/>
      </c>
      <c r="F348" s="24">
        <f>D348*E348</f>
        <v/>
      </c>
    </row>
    <row r="349" ht="15" customHeight="1" s="20">
      <c r="A349" s="22" t="n">
        <v>46023</v>
      </c>
      <c r="B349" s="23" t="inlineStr">
        <is>
          <t>华东</t>
        </is>
      </c>
      <c r="C349" s="19" t="inlineStr">
        <is>
          <t>Gamma</t>
        </is>
      </c>
      <c r="D349" s="24" t="n">
        <v>1437</v>
      </c>
      <c r="E349" s="24">
        <f>INDEX(Assumptions!$E$4:$E$8,MATCH($C349,Assumptions!$D$4:$D$8,0))*(1+Assumptions!$B$10)^((YEAR($A349)-2024))*(1-Assumptions!$B$12)</f>
        <v/>
      </c>
      <c r="F349" s="24">
        <f>D349*E349</f>
        <v/>
      </c>
    </row>
    <row r="350" ht="15" customHeight="1" s="20">
      <c r="A350" s="22" t="n">
        <v>46023</v>
      </c>
      <c r="B350" s="23" t="inlineStr">
        <is>
          <t>华东</t>
        </is>
      </c>
      <c r="C350" s="19" t="inlineStr">
        <is>
          <t>Delta</t>
        </is>
      </c>
      <c r="D350" s="24" t="n">
        <v>1321</v>
      </c>
      <c r="E350" s="24">
        <f>INDEX(Assumptions!$E$4:$E$8,MATCH($C350,Assumptions!$D$4:$D$8,0))*(1+Assumptions!$B$10)^((YEAR($A350)-2024))*(1-Assumptions!$B$12)</f>
        <v/>
      </c>
      <c r="F350" s="24">
        <f>D350*E350</f>
        <v/>
      </c>
    </row>
    <row r="351" ht="15" customHeight="1" s="20">
      <c r="A351" s="22" t="n">
        <v>46023</v>
      </c>
      <c r="B351" s="23" t="inlineStr">
        <is>
          <t>华东</t>
        </is>
      </c>
      <c r="C351" s="19" t="inlineStr">
        <is>
          <t>Epsilon</t>
        </is>
      </c>
      <c r="D351" s="24" t="n">
        <v>966</v>
      </c>
      <c r="E351" s="24">
        <f>INDEX(Assumptions!$E$4:$E$8,MATCH($C351,Assumptions!$D$4:$D$8,0))*(1+Assumptions!$B$10)^((YEAR($A351)-2024))*(1-Assumptions!$B$12)</f>
        <v/>
      </c>
      <c r="F351" s="24">
        <f>D351*E351</f>
        <v/>
      </c>
    </row>
    <row r="352" ht="15" customHeight="1" s="20">
      <c r="A352" s="22" t="n">
        <v>46023</v>
      </c>
      <c r="B352" s="23" t="inlineStr">
        <is>
          <t>华南</t>
        </is>
      </c>
      <c r="C352" s="19" t="inlineStr">
        <is>
          <t>Alpha</t>
        </is>
      </c>
      <c r="D352" s="24" t="n">
        <v>1802</v>
      </c>
      <c r="E352" s="24">
        <f>INDEX(Assumptions!$E$4:$E$8,MATCH($C352,Assumptions!$D$4:$D$8,0))*(1+Assumptions!$B$10)^((YEAR($A352)-2024))*(1-Assumptions!$B$12)</f>
        <v/>
      </c>
      <c r="F352" s="24">
        <f>D352*E352</f>
        <v/>
      </c>
    </row>
    <row r="353" ht="15" customHeight="1" s="20">
      <c r="A353" s="22" t="n">
        <v>46023</v>
      </c>
      <c r="B353" s="23" t="inlineStr">
        <is>
          <t>华南</t>
        </is>
      </c>
      <c r="C353" s="19" t="inlineStr">
        <is>
          <t>Beta</t>
        </is>
      </c>
      <c r="D353" s="24" t="n">
        <v>1432</v>
      </c>
      <c r="E353" s="24">
        <f>INDEX(Assumptions!$E$4:$E$8,MATCH($C353,Assumptions!$D$4:$D$8,0))*(1+Assumptions!$B$10)^((YEAR($A353)-2024))*(1-Assumptions!$B$12)</f>
        <v/>
      </c>
      <c r="F353" s="24">
        <f>D353*E353</f>
        <v/>
      </c>
    </row>
    <row r="354" ht="15" customHeight="1" s="20">
      <c r="A354" s="22" t="n">
        <v>46023</v>
      </c>
      <c r="B354" s="23" t="inlineStr">
        <is>
          <t>华南</t>
        </is>
      </c>
      <c r="C354" s="19" t="inlineStr">
        <is>
          <t>Gamma</t>
        </is>
      </c>
      <c r="D354" s="24" t="n">
        <v>1515</v>
      </c>
      <c r="E354" s="24">
        <f>INDEX(Assumptions!$E$4:$E$8,MATCH($C354,Assumptions!$D$4:$D$8,0))*(1+Assumptions!$B$10)^((YEAR($A354)-2024))*(1-Assumptions!$B$12)</f>
        <v/>
      </c>
      <c r="F354" s="24">
        <f>D354*E354</f>
        <v/>
      </c>
    </row>
    <row r="355" ht="15" customHeight="1" s="20">
      <c r="A355" s="22" t="n">
        <v>46023</v>
      </c>
      <c r="B355" s="23" t="inlineStr">
        <is>
          <t>华南</t>
        </is>
      </c>
      <c r="C355" s="19" t="inlineStr">
        <is>
          <t>Delta</t>
        </is>
      </c>
      <c r="D355" s="24" t="n">
        <v>975</v>
      </c>
      <c r="E355" s="24">
        <f>INDEX(Assumptions!$E$4:$E$8,MATCH($C355,Assumptions!$D$4:$D$8,0))*(1+Assumptions!$B$10)^((YEAR($A355)-2024))*(1-Assumptions!$B$12)</f>
        <v/>
      </c>
      <c r="F355" s="24">
        <f>D355*E355</f>
        <v/>
      </c>
    </row>
    <row r="356" ht="15" customHeight="1" s="20">
      <c r="A356" s="22" t="n">
        <v>46023</v>
      </c>
      <c r="B356" s="23" t="inlineStr">
        <is>
          <t>华南</t>
        </is>
      </c>
      <c r="C356" s="19" t="inlineStr">
        <is>
          <t>Epsilon</t>
        </is>
      </c>
      <c r="D356" s="24" t="n">
        <v>988</v>
      </c>
      <c r="E356" s="24">
        <f>INDEX(Assumptions!$E$4:$E$8,MATCH($C356,Assumptions!$D$4:$D$8,0))*(1+Assumptions!$B$10)^((YEAR($A356)-2024))*(1-Assumptions!$B$12)</f>
        <v/>
      </c>
      <c r="F356" s="24">
        <f>D356*E356</f>
        <v/>
      </c>
    </row>
    <row r="357" ht="15" customHeight="1" s="20">
      <c r="A357" s="22" t="n">
        <v>46023</v>
      </c>
      <c r="B357" s="23" t="inlineStr">
        <is>
          <t>华北</t>
        </is>
      </c>
      <c r="C357" s="19" t="inlineStr">
        <is>
          <t>Alpha</t>
        </is>
      </c>
      <c r="D357" s="24" t="n">
        <v>1280</v>
      </c>
      <c r="E357" s="24">
        <f>INDEX(Assumptions!$E$4:$E$8,MATCH($C357,Assumptions!$D$4:$D$8,0))*(1+Assumptions!$B$10)^((YEAR($A357)-2024))*(1-Assumptions!$B$12)</f>
        <v/>
      </c>
      <c r="F357" s="24">
        <f>D357*E357</f>
        <v/>
      </c>
    </row>
    <row r="358" ht="15" customHeight="1" s="20">
      <c r="A358" s="22" t="n">
        <v>46023</v>
      </c>
      <c r="B358" s="23" t="inlineStr">
        <is>
          <t>华北</t>
        </is>
      </c>
      <c r="C358" s="19" t="inlineStr">
        <is>
          <t>Beta</t>
        </is>
      </c>
      <c r="D358" s="24" t="n">
        <v>1452</v>
      </c>
      <c r="E358" s="24">
        <f>INDEX(Assumptions!$E$4:$E$8,MATCH($C358,Assumptions!$D$4:$D$8,0))*(1+Assumptions!$B$10)^((YEAR($A358)-2024))*(1-Assumptions!$B$12)</f>
        <v/>
      </c>
      <c r="F358" s="24">
        <f>D358*E358</f>
        <v/>
      </c>
    </row>
    <row r="359" ht="15" customHeight="1" s="20">
      <c r="A359" s="22" t="n">
        <v>46023</v>
      </c>
      <c r="B359" s="23" t="inlineStr">
        <is>
          <t>华北</t>
        </is>
      </c>
      <c r="C359" s="19" t="inlineStr">
        <is>
          <t>Gamma</t>
        </is>
      </c>
      <c r="D359" s="24" t="n">
        <v>1120</v>
      </c>
      <c r="E359" s="24">
        <f>INDEX(Assumptions!$E$4:$E$8,MATCH($C359,Assumptions!$D$4:$D$8,0))*(1+Assumptions!$B$10)^((YEAR($A359)-2024))*(1-Assumptions!$B$12)</f>
        <v/>
      </c>
      <c r="F359" s="24">
        <f>D359*E359</f>
        <v/>
      </c>
    </row>
    <row r="360" ht="15" customHeight="1" s="20">
      <c r="A360" s="22" t="n">
        <v>46023</v>
      </c>
      <c r="B360" s="23" t="inlineStr">
        <is>
          <t>华北</t>
        </is>
      </c>
      <c r="C360" s="19" t="inlineStr">
        <is>
          <t>Delta</t>
        </is>
      </c>
      <c r="D360" s="24" t="n">
        <v>875</v>
      </c>
      <c r="E360" s="24">
        <f>INDEX(Assumptions!$E$4:$E$8,MATCH($C360,Assumptions!$D$4:$D$8,0))*(1+Assumptions!$B$10)^((YEAR($A360)-2024))*(1-Assumptions!$B$12)</f>
        <v/>
      </c>
      <c r="F360" s="24">
        <f>D360*E360</f>
        <v/>
      </c>
    </row>
    <row r="361" ht="15" customHeight="1" s="20">
      <c r="A361" s="22" t="n">
        <v>46023</v>
      </c>
      <c r="B361" s="23" t="inlineStr">
        <is>
          <t>华北</t>
        </is>
      </c>
      <c r="C361" s="19" t="inlineStr">
        <is>
          <t>Epsilon</t>
        </is>
      </c>
      <c r="D361" s="24" t="n">
        <v>764</v>
      </c>
      <c r="E361" s="24">
        <f>INDEX(Assumptions!$E$4:$E$8,MATCH($C361,Assumptions!$D$4:$D$8,0))*(1+Assumptions!$B$10)^((YEAR($A361)-2024))*(1-Assumptions!$B$12)</f>
        <v/>
      </c>
      <c r="F361" s="24">
        <f>D361*E361</f>
        <v/>
      </c>
    </row>
  </sheetData>
  <conditionalFormatting sqref="F2:F361">
    <cfRule type="colorScale" priority="1">
      <colorScale>
        <cfvo type="min"/>
        <cfvo type="percentile" val="50"/>
        <cfvo type="max"/>
        <color rgb="00FFFFFF"/>
        <color rgb="00FEF3C7"/>
        <color rgb="00FECACA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2" customWidth="1" style="19" min="1" max="1"/>
    <col width="22" customWidth="1" style="19" min="2" max="2"/>
    <col width="18" customWidth="1" style="19" min="3" max="3"/>
    <col width="14" customWidth="1" style="19" min="4" max="5"/>
    <col width="16" customWidth="1" style="20" min="5" max="5"/>
    <col width="2" customWidth="1" style="20" min="6" max="6"/>
    <col width="2" customWidth="1" style="20" min="7" max="7"/>
    <col width="2" customWidth="1" style="20" min="8" max="8"/>
  </cols>
  <sheetData>
    <row r="1" ht="21.75" customHeight="1" s="20">
      <c r="A1" s="25" t="inlineStr">
        <is>
          <t>参数</t>
        </is>
      </c>
      <c r="B1" s="25" t="inlineStr">
        <is>
          <t>值</t>
        </is>
      </c>
    </row>
    <row r="2" ht="15" customHeight="1" s="20">
      <c r="A2" s="23" t="inlineStr">
        <is>
          <t>区域列表</t>
        </is>
      </c>
      <c r="B2" s="23" t="inlineStr">
        <is>
          <t>（用于下拉选择）</t>
        </is>
      </c>
    </row>
    <row r="3" ht="21.75" customHeight="1" s="20">
      <c r="A3" s="25" t="inlineStr">
        <is>
          <t>区域</t>
        </is>
      </c>
      <c r="B3" s="25" t="inlineStr">
        <is>
          <t>说明</t>
        </is>
      </c>
      <c r="D3" s="25" t="inlineStr">
        <is>
          <t>产品</t>
        </is>
      </c>
      <c r="E3" s="25" t="inlineStr">
        <is>
          <t>基准单价(元)</t>
        </is>
      </c>
    </row>
    <row r="4" ht="15" customHeight="1" s="20">
      <c r="A4" s="23" t="inlineStr">
        <is>
          <t>华东</t>
        </is>
      </c>
      <c r="B4" s="23" t="inlineStr">
        <is>
          <t>销售区域</t>
        </is>
      </c>
      <c r="D4" s="19" t="inlineStr">
        <is>
          <t>Alpha</t>
        </is>
      </c>
      <c r="E4" s="24" t="n">
        <v>129</v>
      </c>
    </row>
    <row r="5" ht="15" customHeight="1" s="20">
      <c r="A5" s="23" t="inlineStr">
        <is>
          <t>华南</t>
        </is>
      </c>
      <c r="B5" s="23" t="inlineStr">
        <is>
          <t>销售区域</t>
        </is>
      </c>
      <c r="D5" s="19" t="inlineStr">
        <is>
          <t>Beta</t>
        </is>
      </c>
      <c r="E5" s="24" t="n">
        <v>169</v>
      </c>
    </row>
    <row r="6" ht="15" customHeight="1" s="20">
      <c r="A6" s="23" t="inlineStr">
        <is>
          <t>华北</t>
        </is>
      </c>
      <c r="B6" s="23" t="inlineStr">
        <is>
          <t>销售区域</t>
        </is>
      </c>
      <c r="D6" s="19" t="inlineStr">
        <is>
          <t>Gamma</t>
        </is>
      </c>
      <c r="E6" s="24" t="n">
        <v>199</v>
      </c>
    </row>
    <row r="7" ht="15" customHeight="1" s="20">
      <c r="D7" s="19" t="inlineStr">
        <is>
          <t>Delta</t>
        </is>
      </c>
      <c r="E7" s="24" t="n">
        <v>249</v>
      </c>
    </row>
    <row r="8" ht="15" customHeight="1" s="20">
      <c r="D8" s="19" t="inlineStr">
        <is>
          <t>Epsilon</t>
        </is>
      </c>
      <c r="E8" s="24" t="n">
        <v>299</v>
      </c>
    </row>
    <row r="10" ht="15" customHeight="1" s="20">
      <c r="A10" s="26" t="inlineStr">
        <is>
          <t>通胀/提价率(年)</t>
        </is>
      </c>
      <c r="B10" s="27">
        <f>INDEX($B$15:$B$17, MATCH(Analysis!$B$4, $A$15:$A$17, 0))</f>
        <v/>
      </c>
    </row>
    <row r="11" ht="15" customHeight="1" s="20">
      <c r="A11" s="23" t="inlineStr">
        <is>
          <t>销量季节性强度(0-1)</t>
        </is>
      </c>
      <c r="B11" s="28" t="n">
        <v>0.35</v>
      </c>
    </row>
    <row r="12">
      <c r="A12" s="29" t="inlineStr">
        <is>
          <t>折扣率(情景驱动)</t>
        </is>
      </c>
      <c r="B12" s="30">
        <f>INDEX($C$15:$C$17, MATCH(Analysis!$B$4, $A$15:$A$17, 0))</f>
        <v/>
      </c>
    </row>
    <row r="13">
      <c r="A13" s="31" t="inlineStr">
        <is>
          <t>情景参数（Scenario）</t>
        </is>
      </c>
    </row>
    <row r="14">
      <c r="A14" s="32" t="inlineStr">
        <is>
          <t>情景</t>
        </is>
      </c>
      <c r="B14" s="32" t="inlineStr">
        <is>
          <t>通胀/提价率(年)</t>
        </is>
      </c>
      <c r="C14" s="32" t="inlineStr">
        <is>
          <t>折扣率</t>
        </is>
      </c>
      <c r="D14" s="32" t="inlineStr">
        <is>
          <t>备注</t>
        </is>
      </c>
    </row>
    <row r="15">
      <c r="A15" s="33" t="inlineStr">
        <is>
          <t>基准</t>
        </is>
      </c>
      <c r="B15" s="34" t="n">
        <v>0.05</v>
      </c>
      <c r="C15" s="34" t="n">
        <v>0</v>
      </c>
      <c r="D15" s="35" t="inlineStr">
        <is>
          <t>默认</t>
        </is>
      </c>
    </row>
    <row r="16">
      <c r="A16" s="33" t="inlineStr">
        <is>
          <t>乐观</t>
        </is>
      </c>
      <c r="B16" s="34" t="n">
        <v>0.08</v>
      </c>
      <c r="C16" s="34" t="n">
        <v>0.02</v>
      </c>
      <c r="D16" s="35" t="inlineStr">
        <is>
          <t>更高提价 + 小折扣促销</t>
        </is>
      </c>
    </row>
    <row r="17">
      <c r="A17" s="33" t="inlineStr">
        <is>
          <t>压力</t>
        </is>
      </c>
      <c r="B17" s="34" t="n">
        <v>0.02</v>
      </c>
      <c r="C17" s="34" t="n">
        <v>0.05</v>
      </c>
      <c r="D17" s="35" t="inlineStr">
        <is>
          <t>低提价 + 让利换量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4" customWidth="1" style="19" min="1" max="1"/>
    <col width="16" customWidth="1" style="19" min="2" max="2"/>
    <col width="10" customWidth="1" style="19" min="3" max="3"/>
    <col width="18" customWidth="1" style="19" min="5" max="5"/>
    <col width="16" customWidth="1" style="19" min="6" max="6"/>
  </cols>
  <sheetData>
    <row r="1" ht="15" customHeight="1" s="20">
      <c r="A1" s="36" t="inlineStr">
        <is>
          <t>销售仪表盘（公式驱动）</t>
        </is>
      </c>
      <c r="B1" s="36" t="n"/>
      <c r="C1" s="36" t="n"/>
      <c r="D1" s="36" t="n"/>
      <c r="E1" s="36" t="n"/>
      <c r="F1" s="36" t="n"/>
    </row>
    <row r="2">
      <c r="A2" s="37" t="inlineStr">
        <is>
          <t>快速入口：</t>
        </is>
      </c>
      <c r="B2" s="38" t="inlineStr">
        <is>
          <t>打开交互版（HTML）</t>
        </is>
      </c>
      <c r="C2" s="38" t="inlineStr">
        <is>
          <t>打开 PDF 版本</t>
        </is>
      </c>
      <c r="D2" s="38">
        <f>HYPERLINK("ms-powerpoint:ofe|u|"&amp;"file:///"&amp;IF(LEFT(SUBSTITUTE(SUBSTITUTE(LEFT(CELL("filename",$A$1),FIND("[",CELL("filename",$A$1))-1),"\\","/")," ","%20"),1)="/",MID(SUBSTITUTE(SUBSTITUTE(LEFT(CELL("filename",$A$1),FIND("[",CELL("filename",$A$1))-1),"\\","/")," ","%20"),2,999),SUBSTITUTE(SUBSTITUTE(LEFT(CELL("filename",$A$1),FIND("[",CELL("filename",$A$1))-1),"\\","/")," ","%20"))&amp;"MTC_能力演示.pptx","打开 PPT 演示")</f>
        <v/>
      </c>
    </row>
    <row r="3" ht="15" customHeight="1" s="20">
      <c r="A3" s="23" t="inlineStr">
        <is>
          <t>区域选择：</t>
        </is>
      </c>
      <c r="B3" s="39" t="inlineStr">
        <is>
          <t>华东</t>
        </is>
      </c>
      <c r="C3" s="57" t="inlineStr">
        <is>
          <t>产品选择：</t>
        </is>
      </c>
      <c r="D3" s="58" t="inlineStr">
        <is>
          <t>Alpha</t>
        </is>
      </c>
      <c r="E3" s="40" t="inlineStr">
        <is>
          <t>关键指标</t>
        </is>
      </c>
      <c r="F3" s="40" t="inlineStr">
        <is>
          <t>值</t>
        </is>
      </c>
    </row>
    <row r="4" ht="15" customHeight="1" s="20">
      <c r="A4" s="41" t="inlineStr">
        <is>
          <t>情景选择：</t>
        </is>
      </c>
      <c r="B4" s="33" t="inlineStr">
        <is>
          <t>基准</t>
        </is>
      </c>
      <c r="E4" s="42" t="inlineStr">
        <is>
          <t>24个月累计收入</t>
        </is>
      </c>
      <c r="F4" s="43">
        <f>SUM(B7:B30)</f>
        <v/>
      </c>
    </row>
    <row r="5" ht="15" customHeight="1" s="20">
      <c r="A5" s="44" t="inlineStr">
        <is>
          <t>月度收入(元)</t>
        </is>
      </c>
      <c r="E5" s="42" t="inlineStr">
        <is>
          <t>最近12个月同比(收入)</t>
        </is>
      </c>
      <c r="F5" s="45">
        <f>IFERROR((SUM(B19:B30)/SUM(B7:B18))-1,"")</f>
        <v/>
      </c>
    </row>
    <row r="6" ht="21.75" customHeight="1" s="20">
      <c r="A6" s="25" t="inlineStr">
        <is>
          <t>月份</t>
        </is>
      </c>
      <c r="B6" s="25" t="inlineStr">
        <is>
          <t>收入</t>
        </is>
      </c>
      <c r="C6" s="25" t="inlineStr">
        <is>
          <t>环比</t>
        </is>
      </c>
      <c r="D6" s="59" t="inlineStr">
        <is>
          <t>产品收入(元)</t>
        </is>
      </c>
      <c r="E6" s="42" t="inlineStr">
        <is>
          <t>波动率(环比标准差)</t>
        </is>
      </c>
      <c r="F6" s="46">
        <f>IFERROR(stdev.s(C8:C30),"")</f>
        <v/>
      </c>
    </row>
    <row r="7" ht="15" customHeight="1" s="20">
      <c r="A7" s="47">
        <f>DATE(2024,1,1)+0*31</f>
        <v/>
      </c>
      <c r="B7" s="48">
        <f>SUMIFS(Data!$F:$F,Data!$B:$B,$B$3,Data!$A:$A,DATE(YEAR($A7),MONTH($A7),1))</f>
        <v/>
      </c>
      <c r="C7" s="49" t="n"/>
      <c r="D7" s="60">
        <f>SUMIFS(Data!$F:$F,Data!$B:$B,$B$3,Data!$C:$C,$D$3,Data!$A:$A,DATE(YEAR($A7),MONTH($A7),1))</f>
        <v/>
      </c>
    </row>
    <row r="8" ht="15" customHeight="1" s="20">
      <c r="A8" s="47">
        <f>DATE(2024,1,1)+1*31</f>
        <v/>
      </c>
      <c r="B8" s="48">
        <f>SUMIFS(Data!$F:$F,Data!$B:$B,$B$3,Data!$A:$A,DATE(YEAR($A8),MONTH($A8),1))</f>
        <v/>
      </c>
      <c r="C8" s="50">
        <f>IFERROR((B8-B7)/B7,"")</f>
        <v/>
      </c>
      <c r="D8" s="60">
        <f>SUMIFS(Data!$F:$F,Data!$B:$B,$B$3,Data!$C:$C,$D$3,Data!$A:$A,DATE(YEAR($A8),MONTH($A8),1))</f>
        <v/>
      </c>
    </row>
    <row r="9" ht="15" customHeight="1" s="20">
      <c r="A9" s="47">
        <f>DATE(2024,1,1)+2*31</f>
        <v/>
      </c>
      <c r="B9" s="48">
        <f>SUMIFS(Data!$F:$F,Data!$B:$B,$B$3,Data!$A:$A,DATE(YEAR($A9),MONTH($A9),1))</f>
        <v/>
      </c>
      <c r="C9" s="50">
        <f>IFERROR((B9-B8)/B8,"")</f>
        <v/>
      </c>
      <c r="D9" s="60">
        <f>SUMIFS(Data!$F:$F,Data!$B:$B,$B$3,Data!$C:$C,$D$3,Data!$A:$A,DATE(YEAR($A9),MONTH($A9),1))</f>
        <v/>
      </c>
    </row>
    <row r="10" ht="15" customHeight="1" s="20">
      <c r="A10" s="47">
        <f>DATE(2024,1,1)+3*31</f>
        <v/>
      </c>
      <c r="B10" s="48">
        <f>SUMIFS(Data!$F:$F,Data!$B:$B,$B$3,Data!$A:$A,DATE(YEAR($A10),MONTH($A10),1))</f>
        <v/>
      </c>
      <c r="C10" s="50">
        <f>IFERROR((B10-B9)/B9,"")</f>
        <v/>
      </c>
      <c r="D10" s="60">
        <f>SUMIFS(Data!$F:$F,Data!$B:$B,$B$3,Data!$C:$C,$D$3,Data!$A:$A,DATE(YEAR($A10),MONTH($A10),1))</f>
        <v/>
      </c>
    </row>
    <row r="11" ht="15" customHeight="1" s="20">
      <c r="A11" s="47">
        <f>DATE(2024,1,1)+4*31</f>
        <v/>
      </c>
      <c r="B11" s="48">
        <f>SUMIFS(Data!$F:$F,Data!$B:$B,$B$3,Data!$A:$A,DATE(YEAR($A11),MONTH($A11),1))</f>
        <v/>
      </c>
      <c r="C11" s="50">
        <f>IFERROR((B11-B10)/B10,"")</f>
        <v/>
      </c>
      <c r="D11" s="60">
        <f>SUMIFS(Data!$F:$F,Data!$B:$B,$B$3,Data!$C:$C,$D$3,Data!$A:$A,DATE(YEAR($A11),MONTH($A11),1))</f>
        <v/>
      </c>
    </row>
    <row r="12" ht="15" customHeight="1" s="20">
      <c r="A12" s="47">
        <f>DATE(2024,1,1)+5*31</f>
        <v/>
      </c>
      <c r="B12" s="48">
        <f>SUMIFS(Data!$F:$F,Data!$B:$B,$B$3,Data!$A:$A,DATE(YEAR($A12),MONTH($A12),1))</f>
        <v/>
      </c>
      <c r="C12" s="50">
        <f>IFERROR((B12-B11)/B11,"")</f>
        <v/>
      </c>
      <c r="D12" s="60">
        <f>SUMIFS(Data!$F:$F,Data!$B:$B,$B$3,Data!$C:$C,$D$3,Data!$A:$A,DATE(YEAR($A12),MONTH($A12),1))</f>
        <v/>
      </c>
    </row>
    <row r="13" ht="15" customHeight="1" s="20">
      <c r="A13" s="47">
        <f>DATE(2024,1,1)+6*31</f>
        <v/>
      </c>
      <c r="B13" s="48">
        <f>SUMIFS(Data!$F:$F,Data!$B:$B,$B$3,Data!$A:$A,DATE(YEAR($A13),MONTH($A13),1))</f>
        <v/>
      </c>
      <c r="C13" s="50">
        <f>IFERROR((B13-B12)/B12,"")</f>
        <v/>
      </c>
      <c r="D13" s="60">
        <f>SUMIFS(Data!$F:$F,Data!$B:$B,$B$3,Data!$C:$C,$D$3,Data!$A:$A,DATE(YEAR($A13),MONTH($A13),1))</f>
        <v/>
      </c>
    </row>
    <row r="14" ht="15" customHeight="1" s="20">
      <c r="A14" s="47">
        <f>DATE(2024,1,1)+7*31</f>
        <v/>
      </c>
      <c r="B14" s="48">
        <f>SUMIFS(Data!$F:$F,Data!$B:$B,$B$3,Data!$A:$A,DATE(YEAR($A14),MONTH($A14),1))</f>
        <v/>
      </c>
      <c r="C14" s="50">
        <f>IFERROR((B14-B13)/B13,"")</f>
        <v/>
      </c>
      <c r="D14" s="60">
        <f>SUMIFS(Data!$F:$F,Data!$B:$B,$B$3,Data!$C:$C,$D$3,Data!$A:$A,DATE(YEAR($A14),MONTH($A14),1))</f>
        <v/>
      </c>
    </row>
    <row r="15" ht="15" customHeight="1" s="20">
      <c r="A15" s="47">
        <f>DATE(2024,1,1)+8*31</f>
        <v/>
      </c>
      <c r="B15" s="48">
        <f>SUMIFS(Data!$F:$F,Data!$B:$B,$B$3,Data!$A:$A,DATE(YEAR($A15),MONTH($A15),1))</f>
        <v/>
      </c>
      <c r="C15" s="50">
        <f>IFERROR((B15-B14)/B14,"")</f>
        <v/>
      </c>
      <c r="D15" s="60">
        <f>SUMIFS(Data!$F:$F,Data!$B:$B,$B$3,Data!$C:$C,$D$3,Data!$A:$A,DATE(YEAR($A15),MONTH($A15),1))</f>
        <v/>
      </c>
    </row>
    <row r="16" ht="15" customHeight="1" s="20">
      <c r="A16" s="47">
        <f>DATE(2024,1,1)+9*31</f>
        <v/>
      </c>
      <c r="B16" s="48">
        <f>SUMIFS(Data!$F:$F,Data!$B:$B,$B$3,Data!$A:$A,DATE(YEAR($A16),MONTH($A16),1))</f>
        <v/>
      </c>
      <c r="C16" s="50">
        <f>IFERROR((B16-B15)/B15,"")</f>
        <v/>
      </c>
      <c r="D16" s="60">
        <f>SUMIFS(Data!$F:$F,Data!$B:$B,$B$3,Data!$C:$C,$D$3,Data!$A:$A,DATE(YEAR($A16),MONTH($A16),1))</f>
        <v/>
      </c>
    </row>
    <row r="17" ht="15" customHeight="1" s="20">
      <c r="A17" s="47">
        <f>DATE(2024,1,1)+10*31</f>
        <v/>
      </c>
      <c r="B17" s="48">
        <f>SUMIFS(Data!$F:$F,Data!$B:$B,$B$3,Data!$A:$A,DATE(YEAR($A17),MONTH($A17),1))</f>
        <v/>
      </c>
      <c r="C17" s="50">
        <f>IFERROR((B17-B16)/B16,"")</f>
        <v/>
      </c>
      <c r="D17" s="60">
        <f>SUMIFS(Data!$F:$F,Data!$B:$B,$B$3,Data!$C:$C,$D$3,Data!$A:$A,DATE(YEAR($A17),MONTH($A17),1))</f>
        <v/>
      </c>
    </row>
    <row r="18" ht="15" customHeight="1" s="20">
      <c r="A18" s="47">
        <f>DATE(2024,1,1)+11*31</f>
        <v/>
      </c>
      <c r="B18" s="48">
        <f>SUMIFS(Data!$F:$F,Data!$B:$B,$B$3,Data!$A:$A,DATE(YEAR($A18),MONTH($A18),1))</f>
        <v/>
      </c>
      <c r="C18" s="50">
        <f>IFERROR((B18-B17)/B17,"")</f>
        <v/>
      </c>
      <c r="D18" s="60">
        <f>SUMIFS(Data!$F:$F,Data!$B:$B,$B$3,Data!$C:$C,$D$3,Data!$A:$A,DATE(YEAR($A18),MONTH($A18),1))</f>
        <v/>
      </c>
    </row>
    <row r="19" ht="15" customHeight="1" s="20">
      <c r="A19" s="47">
        <f>DATE(2024,1,1)+12*31</f>
        <v/>
      </c>
      <c r="B19" s="48">
        <f>SUMIFS(Data!$F:$F,Data!$B:$B,$B$3,Data!$A:$A,DATE(YEAR($A19),MONTH($A19),1))</f>
        <v/>
      </c>
      <c r="C19" s="50">
        <f>IFERROR((B19-B18)/B18,"")</f>
        <v/>
      </c>
      <c r="D19" s="60">
        <f>SUMIFS(Data!$F:$F,Data!$B:$B,$B$3,Data!$C:$C,$D$3,Data!$A:$A,DATE(YEAR($A19),MONTH($A19),1))</f>
        <v/>
      </c>
    </row>
    <row r="20" ht="15" customHeight="1" s="20">
      <c r="A20" s="47">
        <f>DATE(2024,1,1)+13*31</f>
        <v/>
      </c>
      <c r="B20" s="48">
        <f>SUMIFS(Data!$F:$F,Data!$B:$B,$B$3,Data!$A:$A,DATE(YEAR($A20),MONTH($A20),1))</f>
        <v/>
      </c>
      <c r="C20" s="50">
        <f>IFERROR((B20-B19)/B19,"")</f>
        <v/>
      </c>
      <c r="D20" s="60">
        <f>SUMIFS(Data!$F:$F,Data!$B:$B,$B$3,Data!$C:$C,$D$3,Data!$A:$A,DATE(YEAR($A20),MONTH($A20),1))</f>
        <v/>
      </c>
    </row>
    <row r="21" ht="15" customHeight="1" s="20">
      <c r="A21" s="47">
        <f>DATE(2024,1,1)+14*31</f>
        <v/>
      </c>
      <c r="B21" s="48">
        <f>SUMIFS(Data!$F:$F,Data!$B:$B,$B$3,Data!$A:$A,DATE(YEAR($A21),MONTH($A21),1))</f>
        <v/>
      </c>
      <c r="C21" s="50">
        <f>IFERROR((B21-B20)/B20,"")</f>
        <v/>
      </c>
      <c r="D21" s="60">
        <f>SUMIFS(Data!$F:$F,Data!$B:$B,$B$3,Data!$C:$C,$D$3,Data!$A:$A,DATE(YEAR($A21),MONTH($A21),1))</f>
        <v/>
      </c>
    </row>
    <row r="22" ht="15" customHeight="1" s="20">
      <c r="A22" s="47">
        <f>DATE(2024,1,1)+15*31</f>
        <v/>
      </c>
      <c r="B22" s="48">
        <f>SUMIFS(Data!$F:$F,Data!$B:$B,$B$3,Data!$A:$A,DATE(YEAR($A22),MONTH($A22),1))</f>
        <v/>
      </c>
      <c r="C22" s="50">
        <f>IFERROR((B22-B21)/B21,"")</f>
        <v/>
      </c>
      <c r="D22" s="60">
        <f>SUMIFS(Data!$F:$F,Data!$B:$B,$B$3,Data!$C:$C,$D$3,Data!$A:$A,DATE(YEAR($A22),MONTH($A22),1))</f>
        <v/>
      </c>
    </row>
    <row r="23" ht="15" customHeight="1" s="20">
      <c r="A23" s="47">
        <f>DATE(2024,1,1)+16*31</f>
        <v/>
      </c>
      <c r="B23" s="48">
        <f>SUMIFS(Data!$F:$F,Data!$B:$B,$B$3,Data!$A:$A,DATE(YEAR($A23),MONTH($A23),1))</f>
        <v/>
      </c>
      <c r="C23" s="50">
        <f>IFERROR((B23-B22)/B22,"")</f>
        <v/>
      </c>
      <c r="D23" s="60">
        <f>SUMIFS(Data!$F:$F,Data!$B:$B,$B$3,Data!$C:$C,$D$3,Data!$A:$A,DATE(YEAR($A23),MONTH($A23),1))</f>
        <v/>
      </c>
    </row>
    <row r="24" ht="15" customHeight="1" s="20">
      <c r="A24" s="47">
        <f>DATE(2024,1,1)+17*31</f>
        <v/>
      </c>
      <c r="B24" s="48">
        <f>SUMIFS(Data!$F:$F,Data!$B:$B,$B$3,Data!$A:$A,DATE(YEAR($A24),MONTH($A24),1))</f>
        <v/>
      </c>
      <c r="C24" s="50">
        <f>IFERROR((B24-B23)/B23,"")</f>
        <v/>
      </c>
      <c r="D24" s="60">
        <f>SUMIFS(Data!$F:$F,Data!$B:$B,$B$3,Data!$C:$C,$D$3,Data!$A:$A,DATE(YEAR($A24),MONTH($A24),1))</f>
        <v/>
      </c>
    </row>
    <row r="25" ht="15" customHeight="1" s="20">
      <c r="A25" s="47">
        <f>DATE(2024,1,1)+18*31</f>
        <v/>
      </c>
      <c r="B25" s="48">
        <f>SUMIFS(Data!$F:$F,Data!$B:$B,$B$3,Data!$A:$A,DATE(YEAR($A25),MONTH($A25),1))</f>
        <v/>
      </c>
      <c r="C25" s="50">
        <f>IFERROR((B25-B24)/B24,"")</f>
        <v/>
      </c>
      <c r="D25" s="60">
        <f>SUMIFS(Data!$F:$F,Data!$B:$B,$B$3,Data!$C:$C,$D$3,Data!$A:$A,DATE(YEAR($A25),MONTH($A25),1))</f>
        <v/>
      </c>
    </row>
    <row r="26" ht="15" customHeight="1" s="20">
      <c r="A26" s="47">
        <f>DATE(2024,1,1)+19*31</f>
        <v/>
      </c>
      <c r="B26" s="48">
        <f>SUMIFS(Data!$F:$F,Data!$B:$B,$B$3,Data!$A:$A,DATE(YEAR($A26),MONTH($A26),1))</f>
        <v/>
      </c>
      <c r="C26" s="50">
        <f>IFERROR((B26-B25)/B25,"")</f>
        <v/>
      </c>
      <c r="D26" s="60">
        <f>SUMIFS(Data!$F:$F,Data!$B:$B,$B$3,Data!$C:$C,$D$3,Data!$A:$A,DATE(YEAR($A26),MONTH($A26),1))</f>
        <v/>
      </c>
    </row>
    <row r="27" ht="15" customHeight="1" s="20">
      <c r="A27" s="47">
        <f>DATE(2024,1,1)+20*31</f>
        <v/>
      </c>
      <c r="B27" s="48">
        <f>SUMIFS(Data!$F:$F,Data!$B:$B,$B$3,Data!$A:$A,DATE(YEAR($A27),MONTH($A27),1))</f>
        <v/>
      </c>
      <c r="C27" s="50">
        <f>IFERROR((B27-B26)/B26,"")</f>
        <v/>
      </c>
      <c r="D27" s="60">
        <f>SUMIFS(Data!$F:$F,Data!$B:$B,$B$3,Data!$C:$C,$D$3,Data!$A:$A,DATE(YEAR($A27),MONTH($A27),1))</f>
        <v/>
      </c>
    </row>
    <row r="28" ht="15" customHeight="1" s="20">
      <c r="A28" s="47">
        <f>DATE(2024,1,1)+21*31</f>
        <v/>
      </c>
      <c r="B28" s="48">
        <f>SUMIFS(Data!$F:$F,Data!$B:$B,$B$3,Data!$A:$A,DATE(YEAR($A28),MONTH($A28),1))</f>
        <v/>
      </c>
      <c r="C28" s="50">
        <f>IFERROR((B28-B27)/B27,"")</f>
        <v/>
      </c>
      <c r="D28" s="60">
        <f>SUMIFS(Data!$F:$F,Data!$B:$B,$B$3,Data!$C:$C,$D$3,Data!$A:$A,DATE(YEAR($A28),MONTH($A28),1))</f>
        <v/>
      </c>
    </row>
    <row r="29" ht="15" customHeight="1" s="20">
      <c r="A29" s="47">
        <f>DATE(2024,1,1)+22*31</f>
        <v/>
      </c>
      <c r="B29" s="48">
        <f>SUMIFS(Data!$F:$F,Data!$B:$B,$B$3,Data!$A:$A,DATE(YEAR($A29),MONTH($A29),1))</f>
        <v/>
      </c>
      <c r="C29" s="50">
        <f>IFERROR((B29-B28)/B28,"")</f>
        <v/>
      </c>
      <c r="D29" s="60">
        <f>SUMIFS(Data!$F:$F,Data!$B:$B,$B$3,Data!$C:$C,$D$3,Data!$A:$A,DATE(YEAR($A29),MONTH($A29),1))</f>
        <v/>
      </c>
    </row>
    <row r="30" ht="15" customHeight="1" s="20">
      <c r="A30" s="47">
        <f>DATE(2024,1,1)+23*31</f>
        <v/>
      </c>
      <c r="B30" s="48">
        <f>SUMIFS(Data!$F:$F,Data!$B:$B,$B$3,Data!$A:$A,DATE(YEAR($A30),MONTH($A30),1))</f>
        <v/>
      </c>
      <c r="C30" s="50">
        <f>IFERROR((B30-B29)/B29,"")</f>
        <v/>
      </c>
      <c r="D30" s="60">
        <f>SUMIFS(Data!$F:$F,Data!$B:$B,$B$3,Data!$C:$C,$D$3,Data!$A:$A,DATE(YEAR($A30),MONTH($A30),1))</f>
        <v/>
      </c>
    </row>
    <row r="32" ht="15" customHeight="1" s="20">
      <c r="A32" s="44" t="inlineStr">
        <is>
          <t>产品收入排行（当前区域）</t>
        </is>
      </c>
    </row>
    <row r="33" ht="21.75" customHeight="1" s="20">
      <c r="A33" s="25" t="inlineStr">
        <is>
          <t>产品</t>
        </is>
      </c>
      <c r="B33" s="25" t="inlineStr">
        <is>
          <t>累计收入(元)</t>
        </is>
      </c>
    </row>
    <row r="34" ht="15" customHeight="1" s="20">
      <c r="A34" s="19" t="inlineStr">
        <is>
          <t>Alpha</t>
        </is>
      </c>
      <c r="B34" s="24">
        <f>SUMIFS(Data!$F:$F,Data!$B:$B,$B$3,Data!$C:$C,$A34)</f>
        <v/>
      </c>
    </row>
    <row r="35" ht="15" customHeight="1" s="20">
      <c r="A35" s="19" t="inlineStr">
        <is>
          <t>Beta</t>
        </is>
      </c>
      <c r="B35" s="24">
        <f>SUMIFS(Data!$F:$F,Data!$B:$B,$B$3,Data!$C:$C,$A35)</f>
        <v/>
      </c>
    </row>
    <row r="36" ht="15" customHeight="1" s="20">
      <c r="A36" s="19" t="inlineStr">
        <is>
          <t>Gamma</t>
        </is>
      </c>
      <c r="B36" s="24">
        <f>SUMIFS(Data!$F:$F,Data!$B:$B,$B$3,Data!$C:$C,$A36)</f>
        <v/>
      </c>
    </row>
    <row r="37" ht="15" customHeight="1" s="20">
      <c r="A37" s="19" t="inlineStr">
        <is>
          <t>Delta</t>
        </is>
      </c>
      <c r="B37" s="24">
        <f>SUMIFS(Data!$F:$F,Data!$B:$B,$B$3,Data!$C:$C,$A37)</f>
        <v/>
      </c>
    </row>
    <row r="38" ht="15" customHeight="1" s="20">
      <c r="A38" s="19" t="inlineStr">
        <is>
          <t>Epsilon</t>
        </is>
      </c>
      <c r="B38" s="24">
        <f>SUMIFS(Data!$F:$F,Data!$B:$B,$B$3,Data!$C:$C,$A38)</f>
        <v/>
      </c>
    </row>
  </sheetData>
  <conditionalFormatting sqref="C8:C30">
    <cfRule type="colorScale" priority="2">
      <colorScale>
        <cfvo type="num" val="-0.2"/>
        <cfvo type="num" val="0"/>
        <cfvo type="num" val="0.2"/>
        <color rgb="FFEF4444"/>
        <color rgb="FFFFFFFF"/>
        <color rgb="FF22C55E"/>
      </colorScale>
    </cfRule>
  </conditionalFormatting>
  <conditionalFormatting sqref="F5">
    <cfRule type="colorScale" priority="2">
      <colorScale>
        <cfvo type="num" val="-0.2"/>
        <cfvo type="num" val="0"/>
        <cfvo type="num" val="0.2"/>
        <color rgb="00FECACA"/>
        <color rgb="00FEF3C7"/>
        <color rgb="00BBF7D0"/>
      </colorScale>
    </cfRule>
  </conditionalFormatting>
  <conditionalFormatting sqref="F6">
    <cfRule type="colorScale" priority="3">
      <colorScale>
        <cfvo type="num" val="0"/>
        <cfvo type="num" val="0.08"/>
        <cfvo type="num" val="0.2"/>
        <color rgb="00BBF7D0"/>
        <color rgb="00FEF3C7"/>
        <color rgb="00FECACA"/>
      </colorScale>
    </cfRule>
  </conditionalFormatting>
  <dataValidations count="4">
    <dataValidation sqref="B3" showDropDown="0" showInputMessage="0" showErrorMessage="0" allowBlank="0" type="list" errorStyle="stop" operator="between">
      <formula1>Assumptions!$A$4:$A$6</formula1>
      <formula2>0</formula2>
    </dataValidation>
    <dataValidation sqref="B3" showDropDown="0" showInputMessage="0" showErrorMessage="0" allowBlank="0" type="list">
      <formula1>Assumptions!$A$4:$A$6</formula1>
    </dataValidation>
    <dataValidation sqref="B4" showDropDown="0" showInputMessage="0" showErrorMessage="0" allowBlank="0" type="list">
      <formula1>Assumptions!$A$15:$A$17</formula1>
    </dataValidation>
    <dataValidation sqref="D3" showDropDown="0" showInputMessage="0" showErrorMessage="0" allowBlank="0" type="list">
      <formula1>Assumptions!$D$4:$D$8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C2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style="20" min="1" max="1"/>
    <col width="34" customWidth="1" style="20" min="2" max="2"/>
    <col width="12" customWidth="1" style="20" min="3" max="3"/>
    <col width="10" customWidth="1" style="20" min="4" max="4"/>
  </cols>
  <sheetData>
    <row r="1">
      <c r="A1" s="51" t="inlineStr">
        <is>
          <t>数据质量门禁（Poka‑Yoke）</t>
        </is>
      </c>
    </row>
    <row r="2">
      <c r="A2" s="37" t="inlineStr">
        <is>
          <t>总状态：</t>
        </is>
      </c>
      <c r="B2" s="52">
        <f>IF(COUNTIF(D4:D8,"FAIL")&gt;0,"FAIL","PASS")</f>
        <v/>
      </c>
    </row>
    <row r="3">
      <c r="A3" s="32" t="inlineStr">
        <is>
          <t>检查项</t>
        </is>
      </c>
      <c r="B3" s="32" t="inlineStr">
        <is>
          <t>公式</t>
        </is>
      </c>
      <c r="C3" s="32" t="inlineStr">
        <is>
          <t>当前值</t>
        </is>
      </c>
      <c r="D3" s="32" t="inlineStr">
        <is>
          <t>判定</t>
        </is>
      </c>
    </row>
    <row r="4">
      <c r="A4" s="35" t="inlineStr">
        <is>
          <t>日期缺失</t>
        </is>
      </c>
      <c r="B4" s="35">
        <f>COUNTBLANK(Data!A2:A361)</f>
        <v/>
      </c>
      <c r="C4" s="53">
        <f>COUNTBLANK(Data!A2:A361)</f>
        <v/>
      </c>
      <c r="D4" s="53">
        <f>IF(C4&lt;=0,"PASS","FAIL")</f>
        <v/>
      </c>
    </row>
    <row r="5">
      <c r="A5" s="35" t="inlineStr">
        <is>
          <t>区域缺失</t>
        </is>
      </c>
      <c r="B5" s="35">
        <f>COUNTBLANK(Data!B2:B361)</f>
        <v/>
      </c>
      <c r="C5" s="53">
        <f>COUNTBLANK(Data!B2:B361)</f>
        <v/>
      </c>
      <c r="D5" s="53">
        <f>IF(C5&lt;=0,"PASS","FAIL")</f>
        <v/>
      </c>
    </row>
    <row r="6">
      <c r="A6" s="35" t="inlineStr">
        <is>
          <t>产品缺失</t>
        </is>
      </c>
      <c r="B6" s="35">
        <f>COUNTBLANK(Data!C2:C361)</f>
        <v/>
      </c>
      <c r="C6" s="53">
        <f>COUNTBLANK(Data!C2:C361)</f>
        <v/>
      </c>
      <c r="D6" s="53">
        <f>IF(C6&lt;=0,"PASS","FAIL")</f>
        <v/>
      </c>
    </row>
    <row r="7">
      <c r="A7" s="35" t="inlineStr">
        <is>
          <t>销量&lt;=0</t>
        </is>
      </c>
      <c r="B7" s="35">
        <f>COUNTIF(Data!D2:D361,"&lt;=0")</f>
        <v/>
      </c>
      <c r="C7" s="53">
        <f>COUNTIF(Data!D2:D361,"&lt;=0")</f>
        <v/>
      </c>
      <c r="D7" s="53">
        <f>IF(C7&lt;=0,"PASS","FAIL")</f>
        <v/>
      </c>
    </row>
    <row r="8">
      <c r="A8" s="35" t="inlineStr">
        <is>
          <t>收入&lt;=0</t>
        </is>
      </c>
      <c r="B8" s="35">
        <f>COUNTIF(Data!F2:F361,"&lt;=0")</f>
        <v/>
      </c>
      <c r="C8" s="53">
        <f>COUNTIF(Data!F2:F361,"&lt;=0")</f>
        <v/>
      </c>
      <c r="D8" s="53">
        <f>IF(C8&lt;=0,"PASS","FAIL")</f>
        <v/>
      </c>
    </row>
  </sheetData>
  <mergeCells count="1">
    <mergeCell ref="A1:D1"/>
  </mergeCells>
  <conditionalFormatting sqref="D4:D8">
    <cfRule type="colorScale" priority="1">
      <colorScale>
        <cfvo type="num" val="0"/>
        <cfvo type="num" val="0.5"/>
        <cfvo type="num" val="1"/>
        <color rgb="00BBF7D0"/>
        <color rgb="00FEF3C7"/>
        <color rgb="00FECAC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style="20" min="1" max="1"/>
    <col width="20" customWidth="1" style="20" min="2" max="2"/>
    <col width="20" customWidth="1" style="20" min="3" max="3"/>
    <col width="20" customWidth="1" style="20" min="4" max="4"/>
    <col width="20" customWidth="1" style="20" min="5" max="5"/>
    <col width="20" customWidth="1" style="20" min="6" max="6"/>
  </cols>
  <sheetData>
    <row r="1">
      <c r="A1" s="51" t="inlineStr">
        <is>
          <t>Explain / 方法说明（给人看的 Excel）</t>
        </is>
      </c>
    </row>
    <row r="3">
      <c r="A3" s="54" t="inlineStr">
        <is>
          <t>1) 这份模型展示了什么？</t>
        </is>
      </c>
    </row>
    <row r="4">
      <c r="A4" s="55" t="inlineStr">
        <is>
          <t>• 多表联动：Data（明细）→ Analysis（仪表盘）</t>
        </is>
      </c>
    </row>
    <row r="5">
      <c r="A5" s="55" t="inlineStr">
        <is>
          <t>• 情景（Scenario）驱动：选择“基准/乐观/压力”，通胀与折扣会联动影响单价与收入</t>
        </is>
      </c>
    </row>
    <row r="6">
      <c r="A6" s="55" t="inlineStr">
        <is>
          <t>• 数据质量门禁：QualityGate 给出 PASS/FAIL</t>
        </is>
      </c>
    </row>
    <row r="7">
      <c r="A7" s="55" t="inlineStr">
        <is>
          <t>• 外部联动：Analysis 页提供本地 HTML / PDF / PPT 入口（超链接）</t>
        </is>
      </c>
    </row>
    <row r="9">
      <c r="A9" s="37" t="inlineStr">
        <is>
          <t>2) 关键公式链路（示例）</t>
        </is>
      </c>
    </row>
    <row r="10">
      <c r="A10" s="56" t="inlineStr">
        <is>
          <t>Data!E（单价） = 基准单价 × (1+通胀)^(年份差) × (1-折扣)</t>
        </is>
      </c>
    </row>
    <row r="11">
      <c r="A11" s="56" t="inlineStr">
        <is>
          <t>Data!F（收入） = 销量 × 单价</t>
        </is>
      </c>
    </row>
    <row r="12">
      <c r="A12" s="56" t="inlineStr">
        <is>
          <t>Analysis!B（按月收入） = SUMIFS(Data!收入, 区域, 选中区域, 日期=当月)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2026-04-11T19:09:59Z</dcterms:created>
  <dcterms:modified xmlns:dcterms="http://purl.org/dc/terms/" xmlns:xsi="http://www.w3.org/2001/XMLSchema-instance" xsi:type="dcterms:W3CDTF">2026-04-15T06:46:55Z</dcterms:modified>
  <cp:revision>1</cp:revision>
</cp:coreProperties>
</file>